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3.xml" ContentType="application/vnd.openxmlformats-officedocument.themeOverrid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van_\Desktop\DS\second\finance\rep5\"/>
    </mc:Choice>
  </mc:AlternateContent>
  <xr:revisionPtr revIDLastSave="0" documentId="13_ncr:1_{D23273A4-54E3-49E3-AB2D-F99D711C268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olutions and last graphs" sheetId="3" r:id="rId1"/>
    <sheet name="First three graphs" sheetId="4" r:id="rId2"/>
  </sheets>
  <functionGroups builtInGroupCount="19"/>
  <definedNames>
    <definedName name="ExternalData_1" localSheetId="0" hidden="1">'Solutions and last graphs'!$A$4:$G$129</definedName>
    <definedName name="ExternalData_2" localSheetId="0" hidden="1">'Solutions and last graphs'!$K$4:$Q$129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H6" i="3" l="1"/>
  <c r="AF5" i="3"/>
  <c r="DD6" i="3"/>
  <c r="DD7" i="3"/>
  <c r="DD8" i="3"/>
  <c r="DD9" i="3"/>
  <c r="DD10" i="3"/>
  <c r="DD11" i="3"/>
  <c r="DD12" i="3"/>
  <c r="DD13" i="3"/>
  <c r="DD14" i="3"/>
  <c r="DD15" i="3"/>
  <c r="DD16" i="3"/>
  <c r="DD17" i="3"/>
  <c r="DD18" i="3"/>
  <c r="DD19" i="3"/>
  <c r="DD20" i="3"/>
  <c r="DD21" i="3"/>
  <c r="DD22" i="3"/>
  <c r="DD23" i="3"/>
  <c r="DD24" i="3"/>
  <c r="DD25" i="3"/>
  <c r="DD26" i="3"/>
  <c r="DD27" i="3"/>
  <c r="DD28" i="3"/>
  <c r="DD29" i="3"/>
  <c r="DD30" i="3"/>
  <c r="DD31" i="3"/>
  <c r="DD32" i="3"/>
  <c r="DD33" i="3"/>
  <c r="DD34" i="3"/>
  <c r="DD35" i="3"/>
  <c r="DD36" i="3"/>
  <c r="DD37" i="3"/>
  <c r="DD38" i="3"/>
  <c r="DD39" i="3"/>
  <c r="DD40" i="3"/>
  <c r="DD41" i="3"/>
  <c r="DD42" i="3"/>
  <c r="DD43" i="3"/>
  <c r="DD44" i="3"/>
  <c r="DD45" i="3"/>
  <c r="DD46" i="3"/>
  <c r="DD47" i="3"/>
  <c r="DD48" i="3"/>
  <c r="DD49" i="3"/>
  <c r="DD50" i="3"/>
  <c r="DD51" i="3"/>
  <c r="DD52" i="3"/>
  <c r="DD53" i="3"/>
  <c r="DD54" i="3"/>
  <c r="DD55" i="3"/>
  <c r="DD56" i="3"/>
  <c r="DD57" i="3"/>
  <c r="DD58" i="3"/>
  <c r="DD59" i="3"/>
  <c r="DD60" i="3"/>
  <c r="DD61" i="3"/>
  <c r="DD62" i="3"/>
  <c r="DD63" i="3"/>
  <c r="DD64" i="3"/>
  <c r="DD65" i="3"/>
  <c r="DD66" i="3"/>
  <c r="DD67" i="3"/>
  <c r="DD68" i="3"/>
  <c r="DD69" i="3"/>
  <c r="DD70" i="3"/>
  <c r="DD71" i="3"/>
  <c r="DD72" i="3"/>
  <c r="DD73" i="3"/>
  <c r="DD74" i="3"/>
  <c r="DD75" i="3"/>
  <c r="DD76" i="3"/>
  <c r="DD77" i="3"/>
  <c r="DD78" i="3"/>
  <c r="DD79" i="3"/>
  <c r="DD80" i="3"/>
  <c r="DD81" i="3"/>
  <c r="DD82" i="3"/>
  <c r="DD83" i="3"/>
  <c r="DD84" i="3"/>
  <c r="DD85" i="3"/>
  <c r="DD86" i="3"/>
  <c r="DD87" i="3"/>
  <c r="DD88" i="3"/>
  <c r="DD89" i="3"/>
  <c r="DD90" i="3"/>
  <c r="DD91" i="3"/>
  <c r="DD92" i="3"/>
  <c r="DD93" i="3"/>
  <c r="DD94" i="3"/>
  <c r="DD95" i="3"/>
  <c r="DD96" i="3"/>
  <c r="DD97" i="3"/>
  <c r="DD98" i="3"/>
  <c r="DD99" i="3"/>
  <c r="DD100" i="3"/>
  <c r="DD101" i="3"/>
  <c r="DD102" i="3"/>
  <c r="DD103" i="3"/>
  <c r="DD104" i="3"/>
  <c r="DD105" i="3"/>
  <c r="DC7" i="3"/>
  <c r="DC8" i="3"/>
  <c r="DC9" i="3"/>
  <c r="DC10" i="3"/>
  <c r="DC11" i="3"/>
  <c r="DC12" i="3"/>
  <c r="DC13" i="3"/>
  <c r="DC14" i="3"/>
  <c r="DC15" i="3"/>
  <c r="DC16" i="3"/>
  <c r="DC17" i="3"/>
  <c r="DC18" i="3"/>
  <c r="DC19" i="3"/>
  <c r="DC20" i="3"/>
  <c r="DC21" i="3"/>
  <c r="DC22" i="3"/>
  <c r="DC23" i="3"/>
  <c r="DC24" i="3"/>
  <c r="DC25" i="3"/>
  <c r="DC26" i="3"/>
  <c r="DC27" i="3"/>
  <c r="DC28" i="3"/>
  <c r="DC29" i="3"/>
  <c r="DC30" i="3"/>
  <c r="DC31" i="3"/>
  <c r="DC32" i="3"/>
  <c r="DC33" i="3"/>
  <c r="DC34" i="3"/>
  <c r="DC35" i="3"/>
  <c r="DC36" i="3"/>
  <c r="DC37" i="3"/>
  <c r="DC38" i="3"/>
  <c r="DC39" i="3"/>
  <c r="DC40" i="3"/>
  <c r="DC41" i="3"/>
  <c r="DC42" i="3"/>
  <c r="DC43" i="3"/>
  <c r="DC44" i="3"/>
  <c r="DC45" i="3"/>
  <c r="DC46" i="3"/>
  <c r="DC47" i="3"/>
  <c r="DC48" i="3"/>
  <c r="DC49" i="3"/>
  <c r="DC50" i="3"/>
  <c r="DC51" i="3"/>
  <c r="DC52" i="3"/>
  <c r="DC53" i="3"/>
  <c r="DC54" i="3"/>
  <c r="DC55" i="3"/>
  <c r="DC56" i="3"/>
  <c r="DC57" i="3"/>
  <c r="DC58" i="3"/>
  <c r="DC59" i="3"/>
  <c r="DC60" i="3"/>
  <c r="DC61" i="3"/>
  <c r="DC62" i="3"/>
  <c r="DC63" i="3"/>
  <c r="DC64" i="3"/>
  <c r="DC65" i="3"/>
  <c r="DC66" i="3"/>
  <c r="DC67" i="3"/>
  <c r="DC68" i="3"/>
  <c r="DC69" i="3"/>
  <c r="DC70" i="3"/>
  <c r="DC71" i="3"/>
  <c r="DC72" i="3"/>
  <c r="DC73" i="3"/>
  <c r="DC74" i="3"/>
  <c r="DC75" i="3"/>
  <c r="DC76" i="3"/>
  <c r="DC77" i="3"/>
  <c r="DC78" i="3"/>
  <c r="DC79" i="3"/>
  <c r="DC80" i="3"/>
  <c r="DC81" i="3"/>
  <c r="DC82" i="3"/>
  <c r="DC83" i="3"/>
  <c r="DC84" i="3"/>
  <c r="DC85" i="3"/>
  <c r="DC86" i="3"/>
  <c r="DC87" i="3"/>
  <c r="DC88" i="3"/>
  <c r="DC89" i="3"/>
  <c r="DC90" i="3"/>
  <c r="DC91" i="3"/>
  <c r="DC92" i="3"/>
  <c r="DC93" i="3"/>
  <c r="DC94" i="3"/>
  <c r="DC95" i="3"/>
  <c r="DC96" i="3"/>
  <c r="DC97" i="3"/>
  <c r="DC98" i="3"/>
  <c r="DC99" i="3"/>
  <c r="DC100" i="3"/>
  <c r="DC101" i="3"/>
  <c r="DC102" i="3"/>
  <c r="DC103" i="3"/>
  <c r="DC104" i="3"/>
  <c r="DC105" i="3"/>
  <c r="DC6" i="3"/>
  <c r="DB89" i="3"/>
  <c r="DB7" i="3"/>
  <c r="DB8" i="3"/>
  <c r="DB9" i="3"/>
  <c r="DB10" i="3"/>
  <c r="DB11" i="3"/>
  <c r="DB12" i="3"/>
  <c r="DB13" i="3"/>
  <c r="DB14" i="3"/>
  <c r="DB15" i="3"/>
  <c r="DB16" i="3"/>
  <c r="DB17" i="3"/>
  <c r="DB18" i="3"/>
  <c r="DB19" i="3"/>
  <c r="DB20" i="3"/>
  <c r="DB21" i="3"/>
  <c r="DB22" i="3"/>
  <c r="DB23" i="3"/>
  <c r="DB24" i="3"/>
  <c r="DB25" i="3"/>
  <c r="DB26" i="3"/>
  <c r="DB27" i="3"/>
  <c r="DB28" i="3"/>
  <c r="DB29" i="3"/>
  <c r="DB30" i="3"/>
  <c r="DB31" i="3"/>
  <c r="DB32" i="3"/>
  <c r="DB33" i="3"/>
  <c r="DB34" i="3"/>
  <c r="DB35" i="3"/>
  <c r="DB36" i="3"/>
  <c r="DB37" i="3"/>
  <c r="DB38" i="3"/>
  <c r="DB39" i="3"/>
  <c r="DB40" i="3"/>
  <c r="DB41" i="3"/>
  <c r="DB42" i="3"/>
  <c r="DB43" i="3"/>
  <c r="DB44" i="3"/>
  <c r="DB45" i="3"/>
  <c r="DB46" i="3"/>
  <c r="DB47" i="3"/>
  <c r="DB48" i="3"/>
  <c r="DB49" i="3"/>
  <c r="DB50" i="3"/>
  <c r="DB51" i="3"/>
  <c r="DB52" i="3"/>
  <c r="DB53" i="3"/>
  <c r="DB54" i="3"/>
  <c r="DB55" i="3"/>
  <c r="DB56" i="3"/>
  <c r="DB57" i="3"/>
  <c r="DB58" i="3"/>
  <c r="DB59" i="3"/>
  <c r="DB60" i="3"/>
  <c r="DB61" i="3"/>
  <c r="DB62" i="3"/>
  <c r="DB63" i="3"/>
  <c r="DB64" i="3"/>
  <c r="DB65" i="3"/>
  <c r="DB66" i="3"/>
  <c r="DB67" i="3"/>
  <c r="DB68" i="3"/>
  <c r="DB69" i="3"/>
  <c r="DB70" i="3"/>
  <c r="DB71" i="3"/>
  <c r="DB72" i="3"/>
  <c r="DB73" i="3"/>
  <c r="DB74" i="3"/>
  <c r="DB75" i="3"/>
  <c r="DB76" i="3"/>
  <c r="DB77" i="3"/>
  <c r="DB78" i="3"/>
  <c r="DB79" i="3"/>
  <c r="DB80" i="3"/>
  <c r="DB81" i="3"/>
  <c r="DB82" i="3"/>
  <c r="DB83" i="3"/>
  <c r="DB84" i="3"/>
  <c r="DB85" i="3"/>
  <c r="DB86" i="3"/>
  <c r="DB87" i="3"/>
  <c r="DB88" i="3"/>
  <c r="DB90" i="3"/>
  <c r="DB91" i="3"/>
  <c r="DB92" i="3"/>
  <c r="DB93" i="3"/>
  <c r="DB94" i="3"/>
  <c r="DB95" i="3"/>
  <c r="DB96" i="3"/>
  <c r="DB97" i="3"/>
  <c r="DB98" i="3"/>
  <c r="DB99" i="3"/>
  <c r="DB100" i="3"/>
  <c r="DB101" i="3"/>
  <c r="DB102" i="3"/>
  <c r="DB103" i="3"/>
  <c r="DB104" i="3"/>
  <c r="DB105" i="3"/>
  <c r="DB6" i="3"/>
  <c r="CN11" i="3"/>
  <c r="CY6" i="3"/>
  <c r="CY10" i="3" s="1"/>
  <c r="CN9" i="3"/>
  <c r="CX6" i="3"/>
  <c r="CX10" i="3" s="1"/>
  <c r="CN7" i="3"/>
  <c r="CW6" i="3"/>
  <c r="AH1" i="3"/>
  <c r="AF10" i="3" s="1"/>
  <c r="AH2" i="3"/>
  <c r="CW8" i="3"/>
  <c r="CW9" i="3"/>
  <c r="CW10" i="3"/>
  <c r="CW11" i="3"/>
  <c r="CW12" i="3"/>
  <c r="CW13" i="3"/>
  <c r="CW14" i="3"/>
  <c r="CW15" i="3"/>
  <c r="CW16" i="3"/>
  <c r="CW17" i="3"/>
  <c r="CW18" i="3"/>
  <c r="CW19" i="3"/>
  <c r="CW20" i="3"/>
  <c r="CW21" i="3"/>
  <c r="CW22" i="3"/>
  <c r="CW23" i="3"/>
  <c r="CW24" i="3"/>
  <c r="CW25" i="3"/>
  <c r="CW26" i="3"/>
  <c r="CW27" i="3"/>
  <c r="CW28" i="3"/>
  <c r="CW29" i="3"/>
  <c r="CW30" i="3"/>
  <c r="CW31" i="3"/>
  <c r="CW32" i="3"/>
  <c r="CW33" i="3"/>
  <c r="CW34" i="3"/>
  <c r="CW35" i="3"/>
  <c r="CW36" i="3"/>
  <c r="CW37" i="3"/>
  <c r="CW38" i="3"/>
  <c r="CW39" i="3"/>
  <c r="CW40" i="3"/>
  <c r="CW41" i="3"/>
  <c r="CW42" i="3"/>
  <c r="CW43" i="3"/>
  <c r="CW44" i="3"/>
  <c r="CW45" i="3"/>
  <c r="CW46" i="3"/>
  <c r="CW47" i="3"/>
  <c r="CW48" i="3"/>
  <c r="CW49" i="3"/>
  <c r="CW50" i="3"/>
  <c r="CW51" i="3"/>
  <c r="CW52" i="3"/>
  <c r="CW53" i="3"/>
  <c r="CW54" i="3"/>
  <c r="CW55" i="3"/>
  <c r="CW56" i="3"/>
  <c r="CW57" i="3"/>
  <c r="CW58" i="3"/>
  <c r="CW59" i="3"/>
  <c r="CW60" i="3"/>
  <c r="CW61" i="3"/>
  <c r="CW62" i="3"/>
  <c r="CW63" i="3"/>
  <c r="CW64" i="3"/>
  <c r="CW65" i="3"/>
  <c r="CW66" i="3"/>
  <c r="CW67" i="3"/>
  <c r="CW68" i="3"/>
  <c r="CW69" i="3"/>
  <c r="CW70" i="3"/>
  <c r="CW71" i="3"/>
  <c r="CW72" i="3"/>
  <c r="CW73" i="3"/>
  <c r="CW74" i="3"/>
  <c r="CW75" i="3"/>
  <c r="CW76" i="3"/>
  <c r="CW77" i="3"/>
  <c r="CW78" i="3"/>
  <c r="CW79" i="3"/>
  <c r="CW80" i="3"/>
  <c r="CW81" i="3"/>
  <c r="CW82" i="3"/>
  <c r="CW83" i="3"/>
  <c r="CW84" i="3"/>
  <c r="CW85" i="3"/>
  <c r="CW86" i="3"/>
  <c r="CW87" i="3"/>
  <c r="CW88" i="3"/>
  <c r="CW89" i="3"/>
  <c r="CW90" i="3"/>
  <c r="CW91" i="3"/>
  <c r="CW92" i="3"/>
  <c r="CW93" i="3"/>
  <c r="CW94" i="3"/>
  <c r="CW95" i="3"/>
  <c r="CW96" i="3"/>
  <c r="CW97" i="3"/>
  <c r="CW98" i="3"/>
  <c r="CW99" i="3"/>
  <c r="CW100" i="3"/>
  <c r="CW101" i="3"/>
  <c r="CW102" i="3"/>
  <c r="CW103" i="3"/>
  <c r="CW104" i="3"/>
  <c r="CW105" i="3"/>
  <c r="CW7" i="3"/>
  <c r="CV10" i="3"/>
  <c r="CV14" i="3"/>
  <c r="CV18" i="3"/>
  <c r="CV22" i="3"/>
  <c r="CV26" i="3"/>
  <c r="CV30" i="3"/>
  <c r="CV34" i="3"/>
  <c r="CV38" i="3"/>
  <c r="CV42" i="3"/>
  <c r="CV46" i="3"/>
  <c r="CV50" i="3"/>
  <c r="CV54" i="3"/>
  <c r="CV58" i="3"/>
  <c r="CV62" i="3"/>
  <c r="CV66" i="3"/>
  <c r="CV70" i="3"/>
  <c r="CV74" i="3"/>
  <c r="CV78" i="3"/>
  <c r="CV82" i="3"/>
  <c r="CV86" i="3"/>
  <c r="CV90" i="3"/>
  <c r="CV94" i="3"/>
  <c r="CV98" i="3"/>
  <c r="CV102" i="3"/>
  <c r="CV6" i="3"/>
  <c r="CT7" i="3"/>
  <c r="CT8" i="3"/>
  <c r="CT9" i="3"/>
  <c r="CT10" i="3"/>
  <c r="CT11" i="3"/>
  <c r="CT12" i="3"/>
  <c r="CT13" i="3"/>
  <c r="CT14" i="3"/>
  <c r="CT15" i="3"/>
  <c r="CT16" i="3"/>
  <c r="CT17" i="3"/>
  <c r="CT18" i="3"/>
  <c r="CT19" i="3"/>
  <c r="CT20" i="3"/>
  <c r="CT21" i="3"/>
  <c r="CT22" i="3"/>
  <c r="CT23" i="3"/>
  <c r="CT24" i="3"/>
  <c r="CT25" i="3"/>
  <c r="CT26" i="3"/>
  <c r="CT27" i="3"/>
  <c r="CT28" i="3"/>
  <c r="CT29" i="3"/>
  <c r="CT30" i="3"/>
  <c r="CT31" i="3"/>
  <c r="CT32" i="3"/>
  <c r="CT33" i="3"/>
  <c r="CT34" i="3"/>
  <c r="CT35" i="3"/>
  <c r="CT36" i="3"/>
  <c r="CT37" i="3"/>
  <c r="CT38" i="3"/>
  <c r="CT39" i="3"/>
  <c r="CT40" i="3"/>
  <c r="CT41" i="3"/>
  <c r="CT42" i="3"/>
  <c r="CT43" i="3"/>
  <c r="CT44" i="3"/>
  <c r="CT45" i="3"/>
  <c r="CT46" i="3"/>
  <c r="CT47" i="3"/>
  <c r="CT48" i="3"/>
  <c r="CT49" i="3"/>
  <c r="CT50" i="3"/>
  <c r="CT51" i="3"/>
  <c r="CT52" i="3"/>
  <c r="CT53" i="3"/>
  <c r="CT54" i="3"/>
  <c r="CT55" i="3"/>
  <c r="CT56" i="3"/>
  <c r="CT57" i="3"/>
  <c r="CT58" i="3"/>
  <c r="CT59" i="3"/>
  <c r="CT60" i="3"/>
  <c r="CT61" i="3"/>
  <c r="CT62" i="3"/>
  <c r="CT63" i="3"/>
  <c r="CT64" i="3"/>
  <c r="CT65" i="3"/>
  <c r="CT66" i="3"/>
  <c r="CT67" i="3"/>
  <c r="CT68" i="3"/>
  <c r="CT69" i="3"/>
  <c r="CT70" i="3"/>
  <c r="CT71" i="3"/>
  <c r="CT72" i="3"/>
  <c r="CT73" i="3"/>
  <c r="CT74" i="3"/>
  <c r="CT75" i="3"/>
  <c r="CT76" i="3"/>
  <c r="CT77" i="3"/>
  <c r="CT78" i="3"/>
  <c r="CT79" i="3"/>
  <c r="CT80" i="3"/>
  <c r="CT81" i="3"/>
  <c r="CT82" i="3"/>
  <c r="CT83" i="3"/>
  <c r="CT84" i="3"/>
  <c r="CT85" i="3"/>
  <c r="CT86" i="3"/>
  <c r="CT87" i="3"/>
  <c r="CT88" i="3"/>
  <c r="CT89" i="3"/>
  <c r="CT90" i="3"/>
  <c r="CT91" i="3"/>
  <c r="CT92" i="3"/>
  <c r="CT93" i="3"/>
  <c r="CT94" i="3"/>
  <c r="CT95" i="3"/>
  <c r="CT96" i="3"/>
  <c r="CT97" i="3"/>
  <c r="CT98" i="3"/>
  <c r="CT99" i="3"/>
  <c r="CT100" i="3"/>
  <c r="CT101" i="3"/>
  <c r="CT102" i="3"/>
  <c r="CT103" i="3"/>
  <c r="CT104" i="3"/>
  <c r="CT105" i="3"/>
  <c r="CT6" i="3"/>
  <c r="CJ11" i="3"/>
  <c r="CJ16" i="3"/>
  <c r="CU7" i="3" s="1"/>
  <c r="CJ19" i="3"/>
  <c r="CV7" i="3" s="1"/>
  <c r="CJ18" i="3"/>
  <c r="CJ15" i="3"/>
  <c r="CS7" i="3"/>
  <c r="CS8" i="3"/>
  <c r="CS9" i="3"/>
  <c r="CS10" i="3"/>
  <c r="CS11" i="3"/>
  <c r="CS12" i="3"/>
  <c r="CS13" i="3"/>
  <c r="CS14" i="3"/>
  <c r="CS15" i="3"/>
  <c r="CS16" i="3"/>
  <c r="CS17" i="3"/>
  <c r="CS18" i="3"/>
  <c r="CS19" i="3"/>
  <c r="CS20" i="3"/>
  <c r="CS21" i="3"/>
  <c r="CS22" i="3"/>
  <c r="CS23" i="3"/>
  <c r="CS24" i="3"/>
  <c r="CS25" i="3"/>
  <c r="CS26" i="3"/>
  <c r="CS27" i="3"/>
  <c r="CS28" i="3"/>
  <c r="CS29" i="3"/>
  <c r="CS30" i="3"/>
  <c r="CS31" i="3"/>
  <c r="CS32" i="3"/>
  <c r="CS33" i="3"/>
  <c r="CS34" i="3"/>
  <c r="CS35" i="3"/>
  <c r="CS36" i="3"/>
  <c r="CS37" i="3"/>
  <c r="CS38" i="3"/>
  <c r="CS39" i="3"/>
  <c r="CS40" i="3"/>
  <c r="CS41" i="3"/>
  <c r="CS42" i="3"/>
  <c r="CS43" i="3"/>
  <c r="CS44" i="3"/>
  <c r="CS45" i="3"/>
  <c r="CS46" i="3"/>
  <c r="CS47" i="3"/>
  <c r="CS48" i="3"/>
  <c r="CS49" i="3"/>
  <c r="CS50" i="3"/>
  <c r="CS51" i="3"/>
  <c r="CS52" i="3"/>
  <c r="CS53" i="3"/>
  <c r="CS54" i="3"/>
  <c r="CS55" i="3"/>
  <c r="CS56" i="3"/>
  <c r="CS57" i="3"/>
  <c r="CS58" i="3"/>
  <c r="CS59" i="3"/>
  <c r="CS60" i="3"/>
  <c r="CS61" i="3"/>
  <c r="CS62" i="3"/>
  <c r="CS63" i="3"/>
  <c r="CS64" i="3"/>
  <c r="CS65" i="3"/>
  <c r="CS66" i="3"/>
  <c r="CS67" i="3"/>
  <c r="CS68" i="3"/>
  <c r="CS69" i="3"/>
  <c r="CS70" i="3"/>
  <c r="CS71" i="3"/>
  <c r="CS72" i="3"/>
  <c r="CS73" i="3"/>
  <c r="CS74" i="3"/>
  <c r="CS75" i="3"/>
  <c r="CS76" i="3"/>
  <c r="CS77" i="3"/>
  <c r="CS78" i="3"/>
  <c r="CS79" i="3"/>
  <c r="CS80" i="3"/>
  <c r="CS81" i="3"/>
  <c r="CS82" i="3"/>
  <c r="CS83" i="3"/>
  <c r="CS84" i="3"/>
  <c r="CS85" i="3"/>
  <c r="CS86" i="3"/>
  <c r="CS87" i="3"/>
  <c r="CS88" i="3"/>
  <c r="CS89" i="3"/>
  <c r="CS90" i="3"/>
  <c r="CS91" i="3"/>
  <c r="CS92" i="3"/>
  <c r="CS93" i="3"/>
  <c r="CS94" i="3"/>
  <c r="CS95" i="3"/>
  <c r="CS96" i="3"/>
  <c r="CS97" i="3"/>
  <c r="CS98" i="3"/>
  <c r="CS99" i="3"/>
  <c r="CS100" i="3"/>
  <c r="CS101" i="3"/>
  <c r="CS102" i="3"/>
  <c r="CS103" i="3"/>
  <c r="CS104" i="3"/>
  <c r="CS105" i="3"/>
  <c r="CR7" i="3"/>
  <c r="CR8" i="3"/>
  <c r="CR9" i="3"/>
  <c r="CR10" i="3"/>
  <c r="CR11" i="3"/>
  <c r="CR12" i="3"/>
  <c r="CR13" i="3"/>
  <c r="CR14" i="3"/>
  <c r="CR15" i="3"/>
  <c r="CR16" i="3"/>
  <c r="CR17" i="3"/>
  <c r="CR18" i="3"/>
  <c r="CR19" i="3"/>
  <c r="CR20" i="3"/>
  <c r="CR21" i="3"/>
  <c r="CR22" i="3"/>
  <c r="CR23" i="3"/>
  <c r="CR24" i="3"/>
  <c r="CR25" i="3"/>
  <c r="CR26" i="3"/>
  <c r="CR27" i="3"/>
  <c r="CR28" i="3"/>
  <c r="CR29" i="3"/>
  <c r="CR30" i="3"/>
  <c r="CR31" i="3"/>
  <c r="CR32" i="3"/>
  <c r="CR33" i="3"/>
  <c r="CR34" i="3"/>
  <c r="CR35" i="3"/>
  <c r="CR36" i="3"/>
  <c r="CR37" i="3"/>
  <c r="CR38" i="3"/>
  <c r="CR39" i="3"/>
  <c r="CR40" i="3"/>
  <c r="CR41" i="3"/>
  <c r="CR42" i="3"/>
  <c r="CR43" i="3"/>
  <c r="CR44" i="3"/>
  <c r="CR45" i="3"/>
  <c r="CR46" i="3"/>
  <c r="CR47" i="3"/>
  <c r="CR48" i="3"/>
  <c r="CR49" i="3"/>
  <c r="CR50" i="3"/>
  <c r="CR51" i="3"/>
  <c r="CR52" i="3"/>
  <c r="CR53" i="3"/>
  <c r="CR54" i="3"/>
  <c r="CR55" i="3"/>
  <c r="CR56" i="3"/>
  <c r="CR57" i="3"/>
  <c r="CR58" i="3"/>
  <c r="CR59" i="3"/>
  <c r="CR60" i="3"/>
  <c r="CR61" i="3"/>
  <c r="CR62" i="3"/>
  <c r="CR63" i="3"/>
  <c r="CR64" i="3"/>
  <c r="CR65" i="3"/>
  <c r="CR66" i="3"/>
  <c r="CR67" i="3"/>
  <c r="CR68" i="3"/>
  <c r="CR69" i="3"/>
  <c r="CR70" i="3"/>
  <c r="CR71" i="3"/>
  <c r="CR72" i="3"/>
  <c r="CR73" i="3"/>
  <c r="CR74" i="3"/>
  <c r="CR75" i="3"/>
  <c r="CR76" i="3"/>
  <c r="CR77" i="3"/>
  <c r="CR78" i="3"/>
  <c r="CR79" i="3"/>
  <c r="CR80" i="3"/>
  <c r="CR81" i="3"/>
  <c r="CR82" i="3"/>
  <c r="CR83" i="3"/>
  <c r="CR84" i="3"/>
  <c r="CR85" i="3"/>
  <c r="CR86" i="3"/>
  <c r="CR87" i="3"/>
  <c r="CR88" i="3"/>
  <c r="CR89" i="3"/>
  <c r="CR90" i="3"/>
  <c r="CR91" i="3"/>
  <c r="CR92" i="3"/>
  <c r="CR93" i="3"/>
  <c r="CR94" i="3"/>
  <c r="CR95" i="3"/>
  <c r="CR96" i="3"/>
  <c r="CR97" i="3"/>
  <c r="CR98" i="3"/>
  <c r="CR99" i="3"/>
  <c r="CR100" i="3"/>
  <c r="CR101" i="3"/>
  <c r="CR102" i="3"/>
  <c r="CR103" i="3"/>
  <c r="CR104" i="3"/>
  <c r="CR105" i="3"/>
  <c r="CR6" i="3"/>
  <c r="CS6" i="3"/>
  <c r="CF16" i="3"/>
  <c r="CF23" i="3"/>
  <c r="CF22" i="3"/>
  <c r="CF10" i="3"/>
  <c r="AP5" i="3"/>
  <c r="CQ40" i="3"/>
  <c r="CF15" i="3"/>
  <c r="CQ13" i="3"/>
  <c r="CQ17" i="3"/>
  <c r="CQ29" i="3"/>
  <c r="CQ33" i="3"/>
  <c r="CQ37" i="3"/>
  <c r="CQ41" i="3"/>
  <c r="CQ45" i="3"/>
  <c r="CQ49" i="3"/>
  <c r="CQ53" i="3"/>
  <c r="CQ57" i="3"/>
  <c r="CQ61" i="3"/>
  <c r="CQ65" i="3"/>
  <c r="CQ69" i="3"/>
  <c r="CQ73" i="3"/>
  <c r="CQ77" i="3"/>
  <c r="CQ81" i="3"/>
  <c r="CQ85" i="3"/>
  <c r="CQ89" i="3"/>
  <c r="CQ93" i="3"/>
  <c r="CQ97" i="3"/>
  <c r="CQ101" i="3"/>
  <c r="CQ105" i="3"/>
  <c r="BB5" i="3"/>
  <c r="BB7" i="3"/>
  <c r="T13" i="3"/>
  <c r="CJ14" i="3"/>
  <c r="CJ10" i="3"/>
  <c r="CF20" i="3"/>
  <c r="CL6" i="3" a="1"/>
  <c r="CL6" i="3" s="1"/>
  <c r="CJ7" i="3"/>
  <c r="CJ8" i="3" s="1"/>
  <c r="CH6" i="3" a="1"/>
  <c r="CH6" i="3" s="1"/>
  <c r="CD6" i="3" a="1"/>
  <c r="CD6" i="3" s="1"/>
  <c r="CF7" i="3" s="1"/>
  <c r="CF13" i="3" s="1"/>
  <c r="J148" i="3" a="1"/>
  <c r="J150" i="3" a="1"/>
  <c r="J152" i="3" a="1"/>
  <c r="J154" i="3" a="1"/>
  <c r="J156" i="3" a="1"/>
  <c r="J158" i="3" a="1"/>
  <c r="J160" i="3" a="1"/>
  <c r="J162" i="3" a="1"/>
  <c r="J164" i="3" a="1"/>
  <c r="J166" i="3" a="1"/>
  <c r="J168" i="3" a="1"/>
  <c r="J170" i="3" a="1"/>
  <c r="J172" i="3" a="1"/>
  <c r="J174" i="3" a="1"/>
  <c r="J176" i="3" a="1"/>
  <c r="J178" i="3" a="1"/>
  <c r="J180" i="3" a="1"/>
  <c r="J182" i="3" a="1"/>
  <c r="J184" i="3" a="1"/>
  <c r="J186" i="3" a="1"/>
  <c r="J188" i="3" a="1"/>
  <c r="J190" i="3" a="1"/>
  <c r="J192" i="3" a="1"/>
  <c r="J194" i="3" a="1"/>
  <c r="J196" i="3" a="1"/>
  <c r="J198" i="3" a="1"/>
  <c r="J200" i="3" a="1"/>
  <c r="J202" i="3" a="1"/>
  <c r="J204" i="3" a="1"/>
  <c r="J206" i="3" a="1"/>
  <c r="J208" i="3" a="1"/>
  <c r="J210" i="3" a="1"/>
  <c r="J212" i="3" a="1"/>
  <c r="J214" i="3" a="1"/>
  <c r="J216" i="3" a="1"/>
  <c r="J218" i="3" a="1"/>
  <c r="J220" i="3" a="1"/>
  <c r="J222" i="3" a="1"/>
  <c r="J224" i="3" a="1"/>
  <c r="J226" i="3" a="1"/>
  <c r="J228" i="3" a="1"/>
  <c r="J230" i="3" a="1"/>
  <c r="J232" i="3" a="1"/>
  <c r="J234" i="3" a="1"/>
  <c r="J236" i="3" a="1"/>
  <c r="J238" i="3" a="1"/>
  <c r="J240" i="3" a="1"/>
  <c r="J242" i="3" a="1"/>
  <c r="J244" i="3" a="1"/>
  <c r="J246" i="3" a="1"/>
  <c r="J223" i="3" a="1"/>
  <c r="J227" i="3" a="1"/>
  <c r="J231" i="3" a="1"/>
  <c r="J235" i="3" a="1"/>
  <c r="J239" i="3" a="1"/>
  <c r="J243" i="3" a="1"/>
  <c r="J149" i="3" a="1"/>
  <c r="J151" i="3" a="1"/>
  <c r="J153" i="3" a="1"/>
  <c r="J155" i="3" a="1"/>
  <c r="J157" i="3" a="1"/>
  <c r="J159" i="3" a="1"/>
  <c r="J161" i="3" a="1"/>
  <c r="J163" i="3" a="1"/>
  <c r="J165" i="3" a="1"/>
  <c r="J167" i="3" a="1"/>
  <c r="J169" i="3" a="1"/>
  <c r="J171" i="3" a="1"/>
  <c r="J173" i="3" a="1"/>
  <c r="J175" i="3" a="1"/>
  <c r="J177" i="3" a="1"/>
  <c r="J179" i="3" a="1"/>
  <c r="J181" i="3" a="1"/>
  <c r="J183" i="3" a="1"/>
  <c r="J185" i="3" a="1"/>
  <c r="J187" i="3" a="1"/>
  <c r="J189" i="3" a="1"/>
  <c r="J191" i="3" a="1"/>
  <c r="J193" i="3" a="1"/>
  <c r="J195" i="3" a="1"/>
  <c r="J197" i="3" a="1"/>
  <c r="J199" i="3" a="1"/>
  <c r="J201" i="3" a="1"/>
  <c r="J203" i="3" a="1"/>
  <c r="J205" i="3" a="1"/>
  <c r="J207" i="3" a="1"/>
  <c r="J209" i="3" a="1"/>
  <c r="J211" i="3" a="1"/>
  <c r="J213" i="3" a="1"/>
  <c r="J215" i="3" a="1"/>
  <c r="J217" i="3" a="1"/>
  <c r="J219" i="3" a="1"/>
  <c r="J221" i="3" a="1"/>
  <c r="J225" i="3" a="1"/>
  <c r="J229" i="3" a="1"/>
  <c r="J233" i="3" a="1"/>
  <c r="J237" i="3" a="1"/>
  <c r="J241" i="3" a="1"/>
  <c r="J245" i="3" a="1"/>
  <c r="J147" i="3" a="1"/>
  <c r="I148" i="3" a="1"/>
  <c r="I150" i="3" a="1"/>
  <c r="I152" i="3" a="1"/>
  <c r="I154" i="3" a="1"/>
  <c r="I156" i="3" a="1"/>
  <c r="I158" i="3" a="1"/>
  <c r="I160" i="3" a="1"/>
  <c r="I162" i="3" a="1"/>
  <c r="I164" i="3" a="1"/>
  <c r="I166" i="3" a="1"/>
  <c r="I168" i="3" a="1"/>
  <c r="I170" i="3" a="1"/>
  <c r="I172" i="3" a="1"/>
  <c r="I174" i="3" a="1"/>
  <c r="I176" i="3" a="1"/>
  <c r="I178" i="3" a="1"/>
  <c r="I180" i="3" a="1"/>
  <c r="I182" i="3" a="1"/>
  <c r="I184" i="3" a="1"/>
  <c r="I186" i="3" a="1"/>
  <c r="I188" i="3" a="1"/>
  <c r="I190" i="3" a="1"/>
  <c r="I192" i="3" a="1"/>
  <c r="I194" i="3" a="1"/>
  <c r="I196" i="3" a="1"/>
  <c r="I198" i="3" a="1"/>
  <c r="I200" i="3" a="1"/>
  <c r="I202" i="3" a="1"/>
  <c r="I204" i="3" a="1"/>
  <c r="I206" i="3" a="1"/>
  <c r="I208" i="3" a="1"/>
  <c r="I210" i="3" a="1"/>
  <c r="I212" i="3" a="1"/>
  <c r="I214" i="3" a="1"/>
  <c r="I216" i="3" a="1"/>
  <c r="I218" i="3" a="1"/>
  <c r="I220" i="3" a="1"/>
  <c r="I222" i="3" a="1"/>
  <c r="I224" i="3" a="1"/>
  <c r="I226" i="3" a="1"/>
  <c r="I228" i="3" a="1"/>
  <c r="I230" i="3" a="1"/>
  <c r="I232" i="3" a="1"/>
  <c r="I234" i="3" a="1"/>
  <c r="I236" i="3" a="1"/>
  <c r="I238" i="3" a="1"/>
  <c r="I240" i="3" a="1"/>
  <c r="I242" i="3" a="1"/>
  <c r="I244" i="3" a="1"/>
  <c r="I246" i="3" a="1"/>
  <c r="I201" i="3" a="1"/>
  <c r="I213" i="3" a="1"/>
  <c r="I219" i="3" a="1"/>
  <c r="I223" i="3" a="1"/>
  <c r="I227" i="3" a="1"/>
  <c r="I231" i="3" a="1"/>
  <c r="I235" i="3" a="1"/>
  <c r="I239" i="3" a="1"/>
  <c r="I243" i="3" a="1"/>
  <c r="I149" i="3" a="1"/>
  <c r="I151" i="3" a="1"/>
  <c r="I153" i="3" a="1"/>
  <c r="I155" i="3" a="1"/>
  <c r="I157" i="3" a="1"/>
  <c r="I159" i="3" a="1"/>
  <c r="I161" i="3" a="1"/>
  <c r="I163" i="3" a="1"/>
  <c r="I165" i="3" a="1"/>
  <c r="I167" i="3" a="1"/>
  <c r="I169" i="3" a="1"/>
  <c r="I171" i="3" a="1"/>
  <c r="I173" i="3" a="1"/>
  <c r="I175" i="3" a="1"/>
  <c r="I177" i="3" a="1"/>
  <c r="I179" i="3" a="1"/>
  <c r="I181" i="3" a="1"/>
  <c r="I183" i="3" a="1"/>
  <c r="I185" i="3" a="1"/>
  <c r="I187" i="3" a="1"/>
  <c r="I189" i="3" a="1"/>
  <c r="I191" i="3" a="1"/>
  <c r="I193" i="3" a="1"/>
  <c r="I195" i="3" a="1"/>
  <c r="I197" i="3" a="1"/>
  <c r="I199" i="3" a="1"/>
  <c r="I203" i="3" a="1"/>
  <c r="I205" i="3" a="1"/>
  <c r="I207" i="3" a="1"/>
  <c r="I209" i="3" a="1"/>
  <c r="I211" i="3" a="1"/>
  <c r="I215" i="3" a="1"/>
  <c r="I217" i="3" a="1"/>
  <c r="I221" i="3" a="1"/>
  <c r="I225" i="3" a="1"/>
  <c r="I229" i="3" a="1"/>
  <c r="I233" i="3" a="1"/>
  <c r="I237" i="3" a="1"/>
  <c r="I241" i="3" a="1"/>
  <c r="I245" i="3" a="1"/>
  <c r="I147" i="3" a="1"/>
  <c r="H147" i="3" a="1"/>
  <c r="H148" i="3" a="1"/>
  <c r="H150" i="3" a="1"/>
  <c r="H152" i="3" a="1"/>
  <c r="H154" i="3" a="1"/>
  <c r="H156" i="3" a="1"/>
  <c r="H158" i="3" a="1"/>
  <c r="H160" i="3" a="1"/>
  <c r="H162" i="3" a="1"/>
  <c r="H164" i="3" a="1"/>
  <c r="H166" i="3" a="1"/>
  <c r="H168" i="3" a="1"/>
  <c r="H170" i="3" a="1"/>
  <c r="H172" i="3" a="1"/>
  <c r="H174" i="3" a="1"/>
  <c r="H176" i="3" a="1"/>
  <c r="H178" i="3" a="1"/>
  <c r="H180" i="3" a="1"/>
  <c r="H182" i="3" a="1"/>
  <c r="H184" i="3" a="1"/>
  <c r="H186" i="3" a="1"/>
  <c r="H188" i="3" a="1"/>
  <c r="H190" i="3" a="1"/>
  <c r="H192" i="3" a="1"/>
  <c r="H194" i="3" a="1"/>
  <c r="H196" i="3" a="1"/>
  <c r="H198" i="3" a="1"/>
  <c r="H200" i="3" a="1"/>
  <c r="H202" i="3" a="1"/>
  <c r="H204" i="3" a="1"/>
  <c r="H206" i="3" a="1"/>
  <c r="H208" i="3" a="1"/>
  <c r="H210" i="3" a="1"/>
  <c r="H212" i="3" a="1"/>
  <c r="H214" i="3" a="1"/>
  <c r="H216" i="3" a="1"/>
  <c r="H218" i="3" a="1"/>
  <c r="H220" i="3" a="1"/>
  <c r="H222" i="3" a="1"/>
  <c r="H224" i="3" a="1"/>
  <c r="H226" i="3" a="1"/>
  <c r="H228" i="3" a="1"/>
  <c r="H230" i="3" a="1"/>
  <c r="H149" i="3" a="1"/>
  <c r="H151" i="3" a="1"/>
  <c r="H153" i="3" a="1"/>
  <c r="H155" i="3" a="1"/>
  <c r="H157" i="3" a="1"/>
  <c r="H159" i="3" a="1"/>
  <c r="H161" i="3" a="1"/>
  <c r="H163" i="3" a="1"/>
  <c r="H165" i="3" a="1"/>
  <c r="H167" i="3" a="1"/>
  <c r="H169" i="3" a="1"/>
  <c r="H171" i="3" a="1"/>
  <c r="H173" i="3" a="1"/>
  <c r="H175" i="3" a="1"/>
  <c r="H177" i="3" a="1"/>
  <c r="H179" i="3" a="1"/>
  <c r="H181" i="3" a="1"/>
  <c r="H183" i="3" a="1"/>
  <c r="H185" i="3" a="1"/>
  <c r="H187" i="3" a="1"/>
  <c r="H189" i="3" a="1"/>
  <c r="H191" i="3" a="1"/>
  <c r="H193" i="3" a="1"/>
  <c r="H195" i="3" a="1"/>
  <c r="H197" i="3" a="1"/>
  <c r="H199" i="3" a="1"/>
  <c r="H201" i="3" a="1"/>
  <c r="H203" i="3" a="1"/>
  <c r="H205" i="3" a="1"/>
  <c r="H207" i="3" a="1"/>
  <c r="H209" i="3" a="1"/>
  <c r="H211" i="3" a="1"/>
  <c r="H213" i="3" a="1"/>
  <c r="H215" i="3" a="1"/>
  <c r="H217" i="3" a="1"/>
  <c r="H219" i="3" a="1"/>
  <c r="H221" i="3" a="1"/>
  <c r="H223" i="3" a="1"/>
  <c r="H225" i="3" a="1"/>
  <c r="H227" i="3" a="1"/>
  <c r="H229" i="3" a="1"/>
  <c r="H231" i="3" a="1"/>
  <c r="H233" i="3" a="1"/>
  <c r="H235" i="3" a="1"/>
  <c r="H237" i="3" a="1"/>
  <c r="H239" i="3" a="1"/>
  <c r="H241" i="3" a="1"/>
  <c r="H243" i="3" a="1"/>
  <c r="H245" i="3" a="1"/>
  <c r="H232" i="3" a="1"/>
  <c r="H236" i="3" a="1"/>
  <c r="H240" i="3" a="1"/>
  <c r="H244" i="3" a="1"/>
  <c r="H234" i="3" a="1"/>
  <c r="H238" i="3" a="1"/>
  <c r="H242" i="3" a="1"/>
  <c r="H246" i="3" a="1"/>
  <c r="G148" i="3" a="1"/>
  <c r="G150" i="3" a="1"/>
  <c r="G152" i="3" a="1"/>
  <c r="G154" i="3" a="1"/>
  <c r="G156" i="3" a="1"/>
  <c r="G158" i="3" a="1"/>
  <c r="G160" i="3" a="1"/>
  <c r="G162" i="3" a="1"/>
  <c r="G164" i="3" a="1"/>
  <c r="G166" i="3" a="1"/>
  <c r="G168" i="3" a="1"/>
  <c r="G170" i="3" a="1"/>
  <c r="G172" i="3" a="1"/>
  <c r="G174" i="3" a="1"/>
  <c r="G176" i="3" a="1"/>
  <c r="G178" i="3" a="1"/>
  <c r="G180" i="3" a="1"/>
  <c r="G182" i="3" a="1"/>
  <c r="G184" i="3" a="1"/>
  <c r="G186" i="3" a="1"/>
  <c r="G188" i="3" a="1"/>
  <c r="G190" i="3" a="1"/>
  <c r="G192" i="3" a="1"/>
  <c r="G194" i="3" a="1"/>
  <c r="G196" i="3" a="1"/>
  <c r="G198" i="3" a="1"/>
  <c r="G200" i="3" a="1"/>
  <c r="G202" i="3" a="1"/>
  <c r="G204" i="3" a="1"/>
  <c r="G206" i="3" a="1"/>
  <c r="G153" i="3" a="1"/>
  <c r="G161" i="3" a="1"/>
  <c r="G165" i="3" a="1"/>
  <c r="G169" i="3" a="1"/>
  <c r="G173" i="3" a="1"/>
  <c r="G177" i="3" a="1"/>
  <c r="G181" i="3" a="1"/>
  <c r="G185" i="3" a="1"/>
  <c r="G189" i="3" a="1"/>
  <c r="G193" i="3" a="1"/>
  <c r="G197" i="3" a="1"/>
  <c r="G201" i="3" a="1"/>
  <c r="G205" i="3" a="1"/>
  <c r="G209" i="3" a="1"/>
  <c r="G213" i="3" a="1"/>
  <c r="G217" i="3" a="1"/>
  <c r="G221" i="3" a="1"/>
  <c r="G225" i="3" a="1"/>
  <c r="G229" i="3" a="1"/>
  <c r="G233" i="3" a="1"/>
  <c r="G237" i="3" a="1"/>
  <c r="G241" i="3" a="1"/>
  <c r="G245" i="3" a="1"/>
  <c r="G149" i="3" a="1"/>
  <c r="G151" i="3" a="1"/>
  <c r="G155" i="3" a="1"/>
  <c r="G157" i="3" a="1"/>
  <c r="G159" i="3" a="1"/>
  <c r="G163" i="3" a="1"/>
  <c r="G167" i="3" a="1"/>
  <c r="G171" i="3" a="1"/>
  <c r="G175" i="3" a="1"/>
  <c r="G179" i="3" a="1"/>
  <c r="G183" i="3" a="1"/>
  <c r="G187" i="3" a="1"/>
  <c r="G191" i="3" a="1"/>
  <c r="G195" i="3" a="1"/>
  <c r="G199" i="3" a="1"/>
  <c r="G203" i="3" a="1"/>
  <c r="G207" i="3" a="1"/>
  <c r="G211" i="3" a="1"/>
  <c r="G215" i="3" a="1"/>
  <c r="G219" i="3" a="1"/>
  <c r="G223" i="3" a="1"/>
  <c r="G227" i="3" a="1"/>
  <c r="G231" i="3" a="1"/>
  <c r="G235" i="3" a="1"/>
  <c r="G239" i="3" a="1"/>
  <c r="G243" i="3" a="1"/>
  <c r="G208" i="3" a="1"/>
  <c r="G216" i="3" a="1"/>
  <c r="G224" i="3" a="1"/>
  <c r="G238" i="3" a="1"/>
  <c r="G246" i="3" a="1"/>
  <c r="G228" i="3" a="1"/>
  <c r="G236" i="3" a="1"/>
  <c r="G210" i="3" a="1"/>
  <c r="G218" i="3" a="1"/>
  <c r="G226" i="3" a="1"/>
  <c r="G230" i="3" a="1"/>
  <c r="G234" i="3" a="1"/>
  <c r="G242" i="3" a="1"/>
  <c r="G222" i="3" a="1"/>
  <c r="G232" i="3" a="1"/>
  <c r="G244" i="3" a="1"/>
  <c r="G212" i="3" a="1"/>
  <c r="G220" i="3" a="1"/>
  <c r="G214" i="3" a="1"/>
  <c r="G240" i="3" a="1"/>
  <c r="G147" i="3" a="1"/>
  <c r="F148" i="3" a="1"/>
  <c r="F150" i="3" a="1"/>
  <c r="F152" i="3" a="1"/>
  <c r="F154" i="3" a="1"/>
  <c r="F156" i="3" a="1"/>
  <c r="F158" i="3" a="1"/>
  <c r="F160" i="3" a="1"/>
  <c r="F162" i="3" a="1"/>
  <c r="F164" i="3" a="1"/>
  <c r="F166" i="3" a="1"/>
  <c r="F168" i="3" a="1"/>
  <c r="F170" i="3" a="1"/>
  <c r="F172" i="3" a="1"/>
  <c r="F174" i="3" a="1"/>
  <c r="F176" i="3" a="1"/>
  <c r="F178" i="3" a="1"/>
  <c r="F180" i="3" a="1"/>
  <c r="F182" i="3" a="1"/>
  <c r="F184" i="3" a="1"/>
  <c r="F186" i="3" a="1"/>
  <c r="F188" i="3" a="1"/>
  <c r="F190" i="3" a="1"/>
  <c r="F192" i="3" a="1"/>
  <c r="F194" i="3" a="1"/>
  <c r="F196" i="3" a="1"/>
  <c r="F198" i="3" a="1"/>
  <c r="F200" i="3" a="1"/>
  <c r="F202" i="3" a="1"/>
  <c r="F204" i="3" a="1"/>
  <c r="F206" i="3" a="1"/>
  <c r="F208" i="3" a="1"/>
  <c r="F210" i="3" a="1"/>
  <c r="F212" i="3" a="1"/>
  <c r="F214" i="3" a="1"/>
  <c r="F216" i="3" a="1"/>
  <c r="F218" i="3" a="1"/>
  <c r="F220" i="3" a="1"/>
  <c r="F222" i="3" a="1"/>
  <c r="F224" i="3" a="1"/>
  <c r="F153" i="3" a="1"/>
  <c r="F167" i="3" a="1"/>
  <c r="F173" i="3" a="1"/>
  <c r="F177" i="3" a="1"/>
  <c r="F181" i="3" a="1"/>
  <c r="F185" i="3" a="1"/>
  <c r="F189" i="3" a="1"/>
  <c r="F193" i="3" a="1"/>
  <c r="F197" i="3" a="1"/>
  <c r="F199" i="3" a="1"/>
  <c r="F201" i="3" a="1"/>
  <c r="F203" i="3" a="1"/>
  <c r="F205" i="3" a="1"/>
  <c r="F207" i="3" a="1"/>
  <c r="F209" i="3" a="1"/>
  <c r="F211" i="3" a="1"/>
  <c r="F213" i="3" a="1"/>
  <c r="F215" i="3" a="1"/>
  <c r="F217" i="3" a="1"/>
  <c r="F219" i="3" a="1"/>
  <c r="F221" i="3" a="1"/>
  <c r="F223" i="3" a="1"/>
  <c r="F225" i="3" a="1"/>
  <c r="F227" i="3" a="1"/>
  <c r="F229" i="3" a="1"/>
  <c r="F231" i="3" a="1"/>
  <c r="F233" i="3" a="1"/>
  <c r="F235" i="3" a="1"/>
  <c r="F237" i="3" a="1"/>
  <c r="F239" i="3" a="1"/>
  <c r="F241" i="3" a="1"/>
  <c r="F243" i="3" a="1"/>
  <c r="F245" i="3" a="1"/>
  <c r="F149" i="3" a="1"/>
  <c r="F151" i="3" a="1"/>
  <c r="F155" i="3" a="1"/>
  <c r="F157" i="3" a="1"/>
  <c r="F159" i="3" a="1"/>
  <c r="F161" i="3" a="1"/>
  <c r="F163" i="3" a="1"/>
  <c r="F165" i="3" a="1"/>
  <c r="F169" i="3" a="1"/>
  <c r="F171" i="3" a="1"/>
  <c r="F175" i="3" a="1"/>
  <c r="F179" i="3" a="1"/>
  <c r="F183" i="3" a="1"/>
  <c r="F187" i="3" a="1"/>
  <c r="F191" i="3" a="1"/>
  <c r="F195" i="3" a="1"/>
  <c r="F230" i="3" a="1"/>
  <c r="F238" i="3" a="1"/>
  <c r="F242" i="3" a="1"/>
  <c r="F232" i="3" a="1"/>
  <c r="F240" i="3" a="1"/>
  <c r="F226" i="3" a="1"/>
  <c r="F234" i="3" a="1"/>
  <c r="F246" i="3" a="1"/>
  <c r="F236" i="3" a="1"/>
  <c r="F228" i="3" a="1"/>
  <c r="F244" i="3" a="1"/>
  <c r="F147" i="3" a="1"/>
  <c r="E147" i="3" a="1"/>
  <c r="E148" i="3" a="1"/>
  <c r="E150" i="3" a="1"/>
  <c r="E152" i="3" a="1"/>
  <c r="E154" i="3" a="1"/>
  <c r="E156" i="3" a="1"/>
  <c r="E158" i="3" a="1"/>
  <c r="E160" i="3" a="1"/>
  <c r="E162" i="3" a="1"/>
  <c r="E164" i="3" a="1"/>
  <c r="E166" i="3" a="1"/>
  <c r="E168" i="3" a="1"/>
  <c r="E170" i="3" a="1"/>
  <c r="E172" i="3" a="1"/>
  <c r="E174" i="3" a="1"/>
  <c r="E176" i="3" a="1"/>
  <c r="E178" i="3" a="1"/>
  <c r="E180" i="3" a="1"/>
  <c r="E182" i="3" a="1"/>
  <c r="E184" i="3" a="1"/>
  <c r="E186" i="3" a="1"/>
  <c r="E188" i="3" a="1"/>
  <c r="E190" i="3" a="1"/>
  <c r="E192" i="3" a="1"/>
  <c r="E194" i="3" a="1"/>
  <c r="E196" i="3" a="1"/>
  <c r="E198" i="3" a="1"/>
  <c r="E151" i="3" a="1"/>
  <c r="E161" i="3" a="1"/>
  <c r="E165" i="3" a="1"/>
  <c r="E167" i="3" a="1"/>
  <c r="E171" i="3" a="1"/>
  <c r="E175" i="3" a="1"/>
  <c r="E179" i="3" a="1"/>
  <c r="E183" i="3" a="1"/>
  <c r="E187" i="3" a="1"/>
  <c r="E191" i="3" a="1"/>
  <c r="E195" i="3" a="1"/>
  <c r="E199" i="3" a="1"/>
  <c r="E203" i="3" a="1"/>
  <c r="E207" i="3" a="1"/>
  <c r="E211" i="3" a="1"/>
  <c r="E215" i="3" a="1"/>
  <c r="E219" i="3" a="1"/>
  <c r="E223" i="3" a="1"/>
  <c r="E227" i="3" a="1"/>
  <c r="E231" i="3" a="1"/>
  <c r="E235" i="3" a="1"/>
  <c r="E237" i="3" a="1"/>
  <c r="E241" i="3" a="1"/>
  <c r="E245" i="3" a="1"/>
  <c r="E149" i="3" a="1"/>
  <c r="E153" i="3" a="1"/>
  <c r="E155" i="3" a="1"/>
  <c r="E157" i="3" a="1"/>
  <c r="E159" i="3" a="1"/>
  <c r="E163" i="3" a="1"/>
  <c r="E169" i="3" a="1"/>
  <c r="E173" i="3" a="1"/>
  <c r="E177" i="3" a="1"/>
  <c r="E181" i="3" a="1"/>
  <c r="E185" i="3" a="1"/>
  <c r="E189" i="3" a="1"/>
  <c r="E193" i="3" a="1"/>
  <c r="E197" i="3" a="1"/>
  <c r="E201" i="3" a="1"/>
  <c r="E205" i="3" a="1"/>
  <c r="E209" i="3" a="1"/>
  <c r="E213" i="3" a="1"/>
  <c r="E217" i="3" a="1"/>
  <c r="E221" i="3" a="1"/>
  <c r="E225" i="3" a="1"/>
  <c r="E229" i="3" a="1"/>
  <c r="E233" i="3" a="1"/>
  <c r="E239" i="3" a="1"/>
  <c r="E243" i="3" a="1"/>
  <c r="E200" i="3" a="1"/>
  <c r="E208" i="3" a="1"/>
  <c r="E216" i="3" a="1"/>
  <c r="E224" i="3" a="1"/>
  <c r="E228" i="3" a="1"/>
  <c r="E232" i="3" a="1"/>
  <c r="E236" i="3" a="1"/>
  <c r="E240" i="3" a="1"/>
  <c r="E244" i="3" a="1"/>
  <c r="E214" i="3" a="1"/>
  <c r="E202" i="3" a="1"/>
  <c r="E210" i="3" a="1"/>
  <c r="E218" i="3" a="1"/>
  <c r="E226" i="3" a="1"/>
  <c r="E234" i="3" a="1"/>
  <c r="E242" i="3" a="1"/>
  <c r="E206" i="3" a="1"/>
  <c r="E204" i="3" a="1"/>
  <c r="E212" i="3" a="1"/>
  <c r="E220" i="3" a="1"/>
  <c r="E230" i="3" a="1"/>
  <c r="E238" i="3" a="1"/>
  <c r="E246" i="3" a="1"/>
  <c r="E222" i="3" a="1"/>
  <c r="D148" i="3" a="1"/>
  <c r="D150" i="3" a="1"/>
  <c r="D152" i="3" a="1"/>
  <c r="D154" i="3" a="1"/>
  <c r="D156" i="3" a="1"/>
  <c r="D158" i="3" a="1"/>
  <c r="D160" i="3" a="1"/>
  <c r="D162" i="3" a="1"/>
  <c r="D164" i="3" a="1"/>
  <c r="D166" i="3" a="1"/>
  <c r="D168" i="3" a="1"/>
  <c r="D170" i="3" a="1"/>
  <c r="D172" i="3" a="1"/>
  <c r="D174" i="3" a="1"/>
  <c r="D176" i="3" a="1"/>
  <c r="D178" i="3" a="1"/>
  <c r="D180" i="3" a="1"/>
  <c r="D182" i="3" a="1"/>
  <c r="D184" i="3" a="1"/>
  <c r="D186" i="3" a="1"/>
  <c r="D188" i="3" a="1"/>
  <c r="D190" i="3" a="1"/>
  <c r="D192" i="3" a="1"/>
  <c r="D194" i="3" a="1"/>
  <c r="D196" i="3" a="1"/>
  <c r="D198" i="3" a="1"/>
  <c r="D200" i="3" a="1"/>
  <c r="D202" i="3" a="1"/>
  <c r="D204" i="3" a="1"/>
  <c r="D206" i="3" a="1"/>
  <c r="D171" i="3" a="1"/>
  <c r="D185" i="3" a="1"/>
  <c r="D191" i="3" a="1"/>
  <c r="D195" i="3" a="1"/>
  <c r="D199" i="3" a="1"/>
  <c r="D203" i="3" a="1"/>
  <c r="D207" i="3" a="1"/>
  <c r="D211" i="3" a="1"/>
  <c r="D215" i="3" a="1"/>
  <c r="D219" i="3" a="1"/>
  <c r="D223" i="3" a="1"/>
  <c r="D227" i="3" a="1"/>
  <c r="D231" i="3" a="1"/>
  <c r="D235" i="3" a="1"/>
  <c r="D239" i="3" a="1"/>
  <c r="D241" i="3" a="1"/>
  <c r="D245" i="3" a="1"/>
  <c r="D149" i="3" a="1"/>
  <c r="D151" i="3" a="1"/>
  <c r="D153" i="3" a="1"/>
  <c r="D155" i="3" a="1"/>
  <c r="D157" i="3" a="1"/>
  <c r="D159" i="3" a="1"/>
  <c r="D161" i="3" a="1"/>
  <c r="D163" i="3" a="1"/>
  <c r="D165" i="3" a="1"/>
  <c r="D167" i="3" a="1"/>
  <c r="D169" i="3" a="1"/>
  <c r="D173" i="3" a="1"/>
  <c r="D175" i="3" a="1"/>
  <c r="D177" i="3" a="1"/>
  <c r="D179" i="3" a="1"/>
  <c r="D181" i="3" a="1"/>
  <c r="D183" i="3" a="1"/>
  <c r="D187" i="3" a="1"/>
  <c r="D189" i="3" a="1"/>
  <c r="D193" i="3" a="1"/>
  <c r="D197" i="3" a="1"/>
  <c r="D201" i="3" a="1"/>
  <c r="D205" i="3" a="1"/>
  <c r="D209" i="3" a="1"/>
  <c r="D213" i="3" a="1"/>
  <c r="D217" i="3" a="1"/>
  <c r="D221" i="3" a="1"/>
  <c r="D225" i="3" a="1"/>
  <c r="D229" i="3" a="1"/>
  <c r="D233" i="3" a="1"/>
  <c r="D237" i="3" a="1"/>
  <c r="D243" i="3" a="1"/>
  <c r="D208" i="3" a="1"/>
  <c r="D216" i="3" a="1"/>
  <c r="D224" i="3" a="1"/>
  <c r="D232" i="3" a="1"/>
  <c r="D222" i="3" a="1"/>
  <c r="D242" i="3" a="1"/>
  <c r="D210" i="3" a="1"/>
  <c r="D218" i="3" a="1"/>
  <c r="D226" i="3" a="1"/>
  <c r="D234" i="3" a="1"/>
  <c r="D240" i="3" a="1"/>
  <c r="D244" i="3" a="1"/>
  <c r="D212" i="3" a="1"/>
  <c r="D220" i="3" a="1"/>
  <c r="D228" i="3" a="1"/>
  <c r="D236" i="3" a="1"/>
  <c r="D214" i="3" a="1"/>
  <c r="D230" i="3" a="1"/>
  <c r="D238" i="3" a="1"/>
  <c r="D246" i="3" a="1"/>
  <c r="D147" i="3" a="1"/>
  <c r="C148" i="3" a="1"/>
  <c r="C150" i="3" a="1"/>
  <c r="C152" i="3" a="1"/>
  <c r="C154" i="3" a="1"/>
  <c r="C156" i="3" a="1"/>
  <c r="C158" i="3" a="1"/>
  <c r="C160" i="3" a="1"/>
  <c r="C162" i="3" a="1"/>
  <c r="C164" i="3" a="1"/>
  <c r="C166" i="3" a="1"/>
  <c r="C168" i="3" a="1"/>
  <c r="C170" i="3" a="1"/>
  <c r="C172" i="3" a="1"/>
  <c r="C174" i="3" a="1"/>
  <c r="C176" i="3" a="1"/>
  <c r="C178" i="3" a="1"/>
  <c r="C180" i="3" a="1"/>
  <c r="C182" i="3" a="1"/>
  <c r="C184" i="3" a="1"/>
  <c r="C186" i="3" a="1"/>
  <c r="C188" i="3" a="1"/>
  <c r="C190" i="3" a="1"/>
  <c r="C192" i="3" a="1"/>
  <c r="C194" i="3" a="1"/>
  <c r="C196" i="3" a="1"/>
  <c r="C198" i="3" a="1"/>
  <c r="C200" i="3" a="1"/>
  <c r="C202" i="3" a="1"/>
  <c r="C204" i="3" a="1"/>
  <c r="C153" i="3" a="1"/>
  <c r="C163" i="3" a="1"/>
  <c r="C167" i="3" a="1"/>
  <c r="C171" i="3" a="1"/>
  <c r="C175" i="3" a="1"/>
  <c r="C179" i="3" a="1"/>
  <c r="C183" i="3" a="1"/>
  <c r="C187" i="3" a="1"/>
  <c r="C191" i="3" a="1"/>
  <c r="C195" i="3" a="1"/>
  <c r="C199" i="3" a="1"/>
  <c r="C203" i="3" a="1"/>
  <c r="C207" i="3" a="1"/>
  <c r="C211" i="3" a="1"/>
  <c r="C215" i="3" a="1"/>
  <c r="C219" i="3" a="1"/>
  <c r="C223" i="3" a="1"/>
  <c r="C227" i="3" a="1"/>
  <c r="C231" i="3" a="1"/>
  <c r="C235" i="3" a="1"/>
  <c r="C239" i="3" a="1"/>
  <c r="C243" i="3" a="1"/>
  <c r="C149" i="3" a="1"/>
  <c r="C151" i="3" a="1"/>
  <c r="C155" i="3" a="1"/>
  <c r="C157" i="3" a="1"/>
  <c r="C159" i="3" a="1"/>
  <c r="C161" i="3" a="1"/>
  <c r="C165" i="3" a="1"/>
  <c r="C169" i="3" a="1"/>
  <c r="C173" i="3" a="1"/>
  <c r="C177" i="3" a="1"/>
  <c r="C181" i="3" a="1"/>
  <c r="C185" i="3" a="1"/>
  <c r="C189" i="3" a="1"/>
  <c r="C193" i="3" a="1"/>
  <c r="C197" i="3" a="1"/>
  <c r="C201" i="3" a="1"/>
  <c r="C205" i="3" a="1"/>
  <c r="C209" i="3" a="1"/>
  <c r="C213" i="3" a="1"/>
  <c r="C217" i="3" a="1"/>
  <c r="C221" i="3" a="1"/>
  <c r="C225" i="3" a="1"/>
  <c r="C229" i="3" a="1"/>
  <c r="C233" i="3" a="1"/>
  <c r="C237" i="3" a="1"/>
  <c r="C241" i="3" a="1"/>
  <c r="C245" i="3" a="1"/>
  <c r="C206" i="3" a="1"/>
  <c r="C214" i="3" a="1"/>
  <c r="C222" i="3" a="1"/>
  <c r="C228" i="3" a="1"/>
  <c r="C232" i="3" a="1"/>
  <c r="C236" i="3" a="1"/>
  <c r="C240" i="3" a="1"/>
  <c r="C244" i="3" a="1"/>
  <c r="C218" i="3" a="1"/>
  <c r="C230" i="3" a="1"/>
  <c r="C238" i="3" a="1"/>
  <c r="C246" i="3" a="1"/>
  <c r="C220" i="3" a="1"/>
  <c r="C208" i="3" a="1"/>
  <c r="C216" i="3" a="1"/>
  <c r="C224" i="3" a="1"/>
  <c r="C210" i="3" a="1"/>
  <c r="C226" i="3" a="1"/>
  <c r="C234" i="3" a="1"/>
  <c r="C242" i="3" a="1"/>
  <c r="C212" i="3" a="1"/>
  <c r="C147" i="3" a="1"/>
  <c r="B147" i="3" a="1"/>
  <c r="B148" i="3" a="1"/>
  <c r="B150" i="3" a="1"/>
  <c r="B152" i="3" a="1"/>
  <c r="B154" i="3" a="1"/>
  <c r="B156" i="3" a="1"/>
  <c r="B158" i="3" a="1"/>
  <c r="B160" i="3" a="1"/>
  <c r="B162" i="3" a="1"/>
  <c r="B164" i="3" a="1"/>
  <c r="B166" i="3" a="1"/>
  <c r="B168" i="3" a="1"/>
  <c r="B170" i="3" a="1"/>
  <c r="B172" i="3" a="1"/>
  <c r="B174" i="3" a="1"/>
  <c r="B176" i="3" a="1"/>
  <c r="B178" i="3" a="1"/>
  <c r="B180" i="3" a="1"/>
  <c r="B182" i="3" a="1"/>
  <c r="B184" i="3" a="1"/>
  <c r="B186" i="3" a="1"/>
  <c r="B188" i="3" a="1"/>
  <c r="B190" i="3" a="1"/>
  <c r="B192" i="3" a="1"/>
  <c r="B194" i="3" a="1"/>
  <c r="B196" i="3" a="1"/>
  <c r="B198" i="3" a="1"/>
  <c r="B200" i="3" a="1"/>
  <c r="B202" i="3" a="1"/>
  <c r="B153" i="3" a="1"/>
  <c r="B163" i="3" a="1"/>
  <c r="B167" i="3" a="1"/>
  <c r="B171" i="3" a="1"/>
  <c r="B175" i="3" a="1"/>
  <c r="B179" i="3" a="1"/>
  <c r="B183" i="3" a="1"/>
  <c r="B187" i="3" a="1"/>
  <c r="B191" i="3" a="1"/>
  <c r="B195" i="3" a="1"/>
  <c r="B199" i="3" a="1"/>
  <c r="B203" i="3" a="1"/>
  <c r="B207" i="3" a="1"/>
  <c r="B211" i="3" a="1"/>
  <c r="B215" i="3" a="1"/>
  <c r="B219" i="3" a="1"/>
  <c r="B223" i="3" a="1"/>
  <c r="B227" i="3" a="1"/>
  <c r="B231" i="3" a="1"/>
  <c r="B235" i="3" a="1"/>
  <c r="B239" i="3" a="1"/>
  <c r="B243" i="3" a="1"/>
  <c r="B149" i="3" a="1"/>
  <c r="B151" i="3" a="1"/>
  <c r="B155" i="3" a="1"/>
  <c r="B157" i="3" a="1"/>
  <c r="B159" i="3" a="1"/>
  <c r="B161" i="3" a="1"/>
  <c r="B165" i="3" a="1"/>
  <c r="B169" i="3" a="1"/>
  <c r="B173" i="3" a="1"/>
  <c r="B177" i="3" a="1"/>
  <c r="B181" i="3" a="1"/>
  <c r="B185" i="3" a="1"/>
  <c r="B189" i="3" a="1"/>
  <c r="B193" i="3" a="1"/>
  <c r="B197" i="3" a="1"/>
  <c r="B201" i="3" a="1"/>
  <c r="B205" i="3" a="1"/>
  <c r="B209" i="3" a="1"/>
  <c r="B213" i="3" a="1"/>
  <c r="B217" i="3" a="1"/>
  <c r="B221" i="3" a="1"/>
  <c r="B225" i="3" a="1"/>
  <c r="B229" i="3" a="1"/>
  <c r="B233" i="3" a="1"/>
  <c r="B237" i="3" a="1"/>
  <c r="B241" i="3" a="1"/>
  <c r="B245" i="3" a="1"/>
  <c r="B204" i="3" a="1"/>
  <c r="B212" i="3" a="1"/>
  <c r="B220" i="3" a="1"/>
  <c r="B222" i="3" a="1"/>
  <c r="B230" i="3" a="1"/>
  <c r="B238" i="3" a="1"/>
  <c r="B246" i="3" a="1"/>
  <c r="B232" i="3" a="1"/>
  <c r="B244" i="3" a="1"/>
  <c r="B206" i="3" a="1"/>
  <c r="B214" i="3" a="1"/>
  <c r="B226" i="3" a="1"/>
  <c r="B234" i="3" a="1"/>
  <c r="B242" i="3" a="1"/>
  <c r="B224" i="3" a="1"/>
  <c r="B236" i="3" a="1"/>
  <c r="B208" i="3" a="1"/>
  <c r="B216" i="3" a="1"/>
  <c r="B210" i="3" a="1"/>
  <c r="B218" i="3" a="1"/>
  <c r="B228" i="3" a="1"/>
  <c r="B240" i="3" a="1"/>
  <c r="CY105" i="3" l="1"/>
  <c r="CY101" i="3"/>
  <c r="CY97" i="3"/>
  <c r="CY93" i="3"/>
  <c r="CY89" i="3"/>
  <c r="CY85" i="3"/>
  <c r="CY81" i="3"/>
  <c r="CY77" i="3"/>
  <c r="CY73" i="3"/>
  <c r="CY69" i="3"/>
  <c r="CY65" i="3"/>
  <c r="CY61" i="3"/>
  <c r="CY57" i="3"/>
  <c r="CY53" i="3"/>
  <c r="CY49" i="3"/>
  <c r="CY45" i="3"/>
  <c r="CY41" i="3"/>
  <c r="CY37" i="3"/>
  <c r="CY33" i="3"/>
  <c r="CY29" i="3"/>
  <c r="CY25" i="3"/>
  <c r="CY21" i="3"/>
  <c r="CY17" i="3"/>
  <c r="CY13" i="3"/>
  <c r="CY9" i="3"/>
  <c r="CY7" i="3"/>
  <c r="CY104" i="3"/>
  <c r="CY100" i="3"/>
  <c r="CY96" i="3"/>
  <c r="CY92" i="3"/>
  <c r="CY88" i="3"/>
  <c r="CY84" i="3"/>
  <c r="CY80" i="3"/>
  <c r="CY76" i="3"/>
  <c r="CY72" i="3"/>
  <c r="CY68" i="3"/>
  <c r="CY64" i="3"/>
  <c r="CY60" i="3"/>
  <c r="CY56" i="3"/>
  <c r="CY52" i="3"/>
  <c r="CY48" i="3"/>
  <c r="CY44" i="3"/>
  <c r="CY40" i="3"/>
  <c r="CY36" i="3"/>
  <c r="CY32" i="3"/>
  <c r="CY28" i="3"/>
  <c r="CY24" i="3"/>
  <c r="CY20" i="3"/>
  <c r="CY16" i="3"/>
  <c r="CY12" i="3"/>
  <c r="CY8" i="3"/>
  <c r="CY99" i="3"/>
  <c r="CY91" i="3"/>
  <c r="CY83" i="3"/>
  <c r="CY75" i="3"/>
  <c r="CY67" i="3"/>
  <c r="CY59" i="3"/>
  <c r="CY51" i="3"/>
  <c r="CY47" i="3"/>
  <c r="CY43" i="3"/>
  <c r="CY39" i="3"/>
  <c r="CY35" i="3"/>
  <c r="CY31" i="3"/>
  <c r="CY27" i="3"/>
  <c r="CY19" i="3"/>
  <c r="CY15" i="3"/>
  <c r="CY11" i="3"/>
  <c r="CY103" i="3"/>
  <c r="CY95" i="3"/>
  <c r="CY87" i="3"/>
  <c r="CY79" i="3"/>
  <c r="CY71" i="3"/>
  <c r="CY63" i="3"/>
  <c r="CY55" i="3"/>
  <c r="CY23" i="3"/>
  <c r="CY102" i="3"/>
  <c r="CY98" i="3"/>
  <c r="CY94" i="3"/>
  <c r="CY90" i="3"/>
  <c r="CY86" i="3"/>
  <c r="CY82" i="3"/>
  <c r="CY78" i="3"/>
  <c r="CY74" i="3"/>
  <c r="CY70" i="3"/>
  <c r="CY66" i="3"/>
  <c r="CY62" i="3"/>
  <c r="CY58" i="3"/>
  <c r="CY54" i="3"/>
  <c r="CY50" i="3"/>
  <c r="CY46" i="3"/>
  <c r="CY42" i="3"/>
  <c r="CY38" i="3"/>
  <c r="CY34" i="3"/>
  <c r="CY30" i="3"/>
  <c r="CY26" i="3"/>
  <c r="CY22" i="3"/>
  <c r="CY18" i="3"/>
  <c r="CY14" i="3"/>
  <c r="CX104" i="3"/>
  <c r="CX80" i="3"/>
  <c r="CX64" i="3"/>
  <c r="CX48" i="3"/>
  <c r="CX24" i="3"/>
  <c r="CX101" i="3"/>
  <c r="CX93" i="3"/>
  <c r="CX85" i="3"/>
  <c r="CX77" i="3"/>
  <c r="CX69" i="3"/>
  <c r="CX61" i="3"/>
  <c r="CX53" i="3"/>
  <c r="CX45" i="3"/>
  <c r="CX37" i="3"/>
  <c r="CX29" i="3"/>
  <c r="CX21" i="3"/>
  <c r="CX13" i="3"/>
  <c r="CX88" i="3"/>
  <c r="CX56" i="3"/>
  <c r="CX32" i="3"/>
  <c r="CX8" i="3"/>
  <c r="CX100" i="3"/>
  <c r="CX92" i="3"/>
  <c r="CX84" i="3"/>
  <c r="CX76" i="3"/>
  <c r="CX68" i="3"/>
  <c r="CX60" i="3"/>
  <c r="CX52" i="3"/>
  <c r="CX44" i="3"/>
  <c r="CX36" i="3"/>
  <c r="CX28" i="3"/>
  <c r="CX20" i="3"/>
  <c r="CX12" i="3"/>
  <c r="CX96" i="3"/>
  <c r="CX72" i="3"/>
  <c r="CX40" i="3"/>
  <c r="CX16" i="3"/>
  <c r="CX7" i="3"/>
  <c r="CX105" i="3"/>
  <c r="CX97" i="3"/>
  <c r="CX89" i="3"/>
  <c r="CX81" i="3"/>
  <c r="CX73" i="3"/>
  <c r="CX65" i="3"/>
  <c r="CX57" i="3"/>
  <c r="CX49" i="3"/>
  <c r="CX41" i="3"/>
  <c r="CX33" i="3"/>
  <c r="CX25" i="3"/>
  <c r="CX17" i="3"/>
  <c r="CX9" i="3"/>
  <c r="CX103" i="3"/>
  <c r="CX99" i="3"/>
  <c r="CX95" i="3"/>
  <c r="CX91" i="3"/>
  <c r="CX87" i="3"/>
  <c r="CX83" i="3"/>
  <c r="CX79" i="3"/>
  <c r="CX75" i="3"/>
  <c r="CX71" i="3"/>
  <c r="CX67" i="3"/>
  <c r="CX63" i="3"/>
  <c r="CX59" i="3"/>
  <c r="CX55" i="3"/>
  <c r="CX51" i="3"/>
  <c r="CX47" i="3"/>
  <c r="CX43" i="3"/>
  <c r="CX39" i="3"/>
  <c r="CX35" i="3"/>
  <c r="CX31" i="3"/>
  <c r="CX27" i="3"/>
  <c r="CX23" i="3"/>
  <c r="CX19" i="3"/>
  <c r="CX15" i="3"/>
  <c r="CX11" i="3"/>
  <c r="CX102" i="3"/>
  <c r="CX98" i="3"/>
  <c r="CX94" i="3"/>
  <c r="CX90" i="3"/>
  <c r="CX86" i="3"/>
  <c r="CX82" i="3"/>
  <c r="CX78" i="3"/>
  <c r="CX74" i="3"/>
  <c r="CX70" i="3"/>
  <c r="CX66" i="3"/>
  <c r="CX62" i="3"/>
  <c r="CX58" i="3"/>
  <c r="CX54" i="3"/>
  <c r="CX50" i="3"/>
  <c r="CX46" i="3"/>
  <c r="CX42" i="3"/>
  <c r="CX38" i="3"/>
  <c r="CX34" i="3"/>
  <c r="CX30" i="3"/>
  <c r="CX26" i="3"/>
  <c r="CX22" i="3"/>
  <c r="CX18" i="3"/>
  <c r="CX14" i="3"/>
  <c r="AF9" i="3"/>
  <c r="CV105" i="3"/>
  <c r="CV101" i="3"/>
  <c r="CV93" i="3"/>
  <c r="CV89" i="3"/>
  <c r="CV85" i="3"/>
  <c r="CV81" i="3"/>
  <c r="CV77" i="3"/>
  <c r="CV73" i="3"/>
  <c r="CV69" i="3"/>
  <c r="CV65" i="3"/>
  <c r="CV61" i="3"/>
  <c r="CV57" i="3"/>
  <c r="CV53" i="3"/>
  <c r="CV49" i="3"/>
  <c r="CV45" i="3"/>
  <c r="CV41" i="3"/>
  <c r="CV37" i="3"/>
  <c r="CV33" i="3"/>
  <c r="CV29" i="3"/>
  <c r="CV25" i="3"/>
  <c r="CV21" i="3"/>
  <c r="CV17" i="3"/>
  <c r="CV13" i="3"/>
  <c r="CV9" i="3"/>
  <c r="CV104" i="3"/>
  <c r="CV100" i="3"/>
  <c r="CV96" i="3"/>
  <c r="CV92" i="3"/>
  <c r="CV88" i="3"/>
  <c r="CV84" i="3"/>
  <c r="CV80" i="3"/>
  <c r="CV76" i="3"/>
  <c r="CV72" i="3"/>
  <c r="CV68" i="3"/>
  <c r="CV64" i="3"/>
  <c r="CV60" i="3"/>
  <c r="CV56" i="3"/>
  <c r="CV52" i="3"/>
  <c r="CV48" i="3"/>
  <c r="CV44" i="3"/>
  <c r="CV40" i="3"/>
  <c r="CV36" i="3"/>
  <c r="CV32" i="3"/>
  <c r="CV28" i="3"/>
  <c r="CV24" i="3"/>
  <c r="CV20" i="3"/>
  <c r="CV16" i="3"/>
  <c r="CV12" i="3"/>
  <c r="CV8" i="3"/>
  <c r="CV97" i="3"/>
  <c r="CV103" i="3"/>
  <c r="CV99" i="3"/>
  <c r="CV95" i="3"/>
  <c r="CV91" i="3"/>
  <c r="CV87" i="3"/>
  <c r="CV83" i="3"/>
  <c r="CV79" i="3"/>
  <c r="CV75" i="3"/>
  <c r="CV71" i="3"/>
  <c r="CV67" i="3"/>
  <c r="CV63" i="3"/>
  <c r="CV59" i="3"/>
  <c r="CV55" i="3"/>
  <c r="CV51" i="3"/>
  <c r="CV47" i="3"/>
  <c r="CV43" i="3"/>
  <c r="CV39" i="3"/>
  <c r="CV35" i="3"/>
  <c r="CV31" i="3"/>
  <c r="CV27" i="3"/>
  <c r="CV23" i="3"/>
  <c r="CV19" i="3"/>
  <c r="CV15" i="3"/>
  <c r="CV11" i="3"/>
  <c r="CU6" i="3"/>
  <c r="CU102" i="3"/>
  <c r="CU98" i="3"/>
  <c r="CU94" i="3"/>
  <c r="CU90" i="3"/>
  <c r="CU86" i="3"/>
  <c r="CU82" i="3"/>
  <c r="CU78" i="3"/>
  <c r="CU74" i="3"/>
  <c r="CU70" i="3"/>
  <c r="CU66" i="3"/>
  <c r="CU62" i="3"/>
  <c r="CU58" i="3"/>
  <c r="CU54" i="3"/>
  <c r="CU50" i="3"/>
  <c r="CU46" i="3"/>
  <c r="CU42" i="3"/>
  <c r="CU38" i="3"/>
  <c r="CU34" i="3"/>
  <c r="CU30" i="3"/>
  <c r="CU26" i="3"/>
  <c r="CU22" i="3"/>
  <c r="CU18" i="3"/>
  <c r="CU14" i="3"/>
  <c r="CU10" i="3"/>
  <c r="CU105" i="3"/>
  <c r="CU101" i="3"/>
  <c r="CU97" i="3"/>
  <c r="CU93" i="3"/>
  <c r="CU89" i="3"/>
  <c r="CU85" i="3"/>
  <c r="CU81" i="3"/>
  <c r="CU77" i="3"/>
  <c r="CU73" i="3"/>
  <c r="CU69" i="3"/>
  <c r="CU65" i="3"/>
  <c r="CU61" i="3"/>
  <c r="CU57" i="3"/>
  <c r="CU53" i="3"/>
  <c r="CU49" i="3"/>
  <c r="CU45" i="3"/>
  <c r="CU41" i="3"/>
  <c r="CU37" i="3"/>
  <c r="CU33" i="3"/>
  <c r="CU29" i="3"/>
  <c r="CU25" i="3"/>
  <c r="CU21" i="3"/>
  <c r="CU17" i="3"/>
  <c r="CU13" i="3"/>
  <c r="CU9" i="3"/>
  <c r="CU104" i="3"/>
  <c r="CU100" i="3"/>
  <c r="CU96" i="3"/>
  <c r="CU92" i="3"/>
  <c r="CU88" i="3"/>
  <c r="CU84" i="3"/>
  <c r="CU80" i="3"/>
  <c r="CU76" i="3"/>
  <c r="CU72" i="3"/>
  <c r="CU68" i="3"/>
  <c r="CU64" i="3"/>
  <c r="CU60" i="3"/>
  <c r="CU56" i="3"/>
  <c r="CU52" i="3"/>
  <c r="CU48" i="3"/>
  <c r="CU44" i="3"/>
  <c r="CU40" i="3"/>
  <c r="CU36" i="3"/>
  <c r="CU32" i="3"/>
  <c r="CU28" i="3"/>
  <c r="CU24" i="3"/>
  <c r="CU20" i="3"/>
  <c r="CU16" i="3"/>
  <c r="CU12" i="3"/>
  <c r="CU8" i="3"/>
  <c r="CU103" i="3"/>
  <c r="CU99" i="3"/>
  <c r="CU95" i="3"/>
  <c r="CU91" i="3"/>
  <c r="CU87" i="3"/>
  <c r="CU83" i="3"/>
  <c r="CU79" i="3"/>
  <c r="CU75" i="3"/>
  <c r="CU71" i="3"/>
  <c r="CU67" i="3"/>
  <c r="CU63" i="3"/>
  <c r="CU59" i="3"/>
  <c r="CU55" i="3"/>
  <c r="CU51" i="3"/>
  <c r="CU47" i="3"/>
  <c r="CU43" i="3"/>
  <c r="CU39" i="3"/>
  <c r="CU35" i="3"/>
  <c r="CU31" i="3"/>
  <c r="CU27" i="3"/>
  <c r="CU23" i="3"/>
  <c r="CU19" i="3"/>
  <c r="CU15" i="3"/>
  <c r="CU11" i="3"/>
  <c r="CQ25" i="3"/>
  <c r="CQ21" i="3"/>
  <c r="CQ103" i="3"/>
  <c r="CQ99" i="3"/>
  <c r="CQ95" i="3"/>
  <c r="CQ91" i="3"/>
  <c r="CQ87" i="3"/>
  <c r="CQ83" i="3"/>
  <c r="CQ79" i="3"/>
  <c r="CQ75" i="3"/>
  <c r="CQ71" i="3"/>
  <c r="CQ67" i="3"/>
  <c r="CQ63" i="3"/>
  <c r="CQ59" i="3"/>
  <c r="CQ55" i="3"/>
  <c r="CQ51" i="3"/>
  <c r="CQ47" i="3"/>
  <c r="CQ43" i="3"/>
  <c r="CQ39" i="3"/>
  <c r="CQ35" i="3"/>
  <c r="CQ31" i="3"/>
  <c r="CQ27" i="3"/>
  <c r="CQ23" i="3"/>
  <c r="CQ19" i="3"/>
  <c r="CQ15" i="3"/>
  <c r="CQ11" i="3"/>
  <c r="CQ7" i="3"/>
  <c r="CQ104" i="3"/>
  <c r="CQ100" i="3"/>
  <c r="CQ96" i="3"/>
  <c r="CQ92" i="3"/>
  <c r="CQ88" i="3"/>
  <c r="CQ84" i="3"/>
  <c r="CQ80" i="3"/>
  <c r="CQ76" i="3"/>
  <c r="CQ72" i="3"/>
  <c r="CQ68" i="3"/>
  <c r="CQ64" i="3"/>
  <c r="CQ60" i="3"/>
  <c r="CQ56" i="3"/>
  <c r="CQ52" i="3"/>
  <c r="CQ48" i="3"/>
  <c r="CQ44" i="3"/>
  <c r="CQ36" i="3"/>
  <c r="CQ32" i="3"/>
  <c r="CQ28" i="3"/>
  <c r="CQ24" i="3"/>
  <c r="CQ20" i="3"/>
  <c r="CQ16" i="3"/>
  <c r="CQ12" i="3"/>
  <c r="CQ8" i="3"/>
  <c r="CQ6" i="3"/>
  <c r="CQ102" i="3"/>
  <c r="CQ98" i="3"/>
  <c r="CQ94" i="3"/>
  <c r="CQ90" i="3"/>
  <c r="CQ86" i="3"/>
  <c r="CQ82" i="3"/>
  <c r="CQ78" i="3"/>
  <c r="CQ74" i="3"/>
  <c r="CQ70" i="3"/>
  <c r="CQ66" i="3"/>
  <c r="CQ62" i="3"/>
  <c r="CQ58" i="3"/>
  <c r="CQ54" i="3"/>
  <c r="CQ50" i="3"/>
  <c r="CQ46" i="3"/>
  <c r="CQ42" i="3"/>
  <c r="CQ38" i="3"/>
  <c r="CQ34" i="3"/>
  <c r="CQ30" i="3"/>
  <c r="CQ26" i="3"/>
  <c r="CQ22" i="3"/>
  <c r="CQ18" i="3"/>
  <c r="CQ14" i="3"/>
  <c r="CQ10" i="3"/>
  <c r="CQ9" i="3"/>
  <c r="J245" i="3"/>
  <c r="J241" i="3"/>
  <c r="J237" i="3"/>
  <c r="J233" i="3"/>
  <c r="J229" i="3"/>
  <c r="J225" i="3"/>
  <c r="J221" i="3"/>
  <c r="J219" i="3"/>
  <c r="J217" i="3"/>
  <c r="J215" i="3"/>
  <c r="J213" i="3"/>
  <c r="J211" i="3"/>
  <c r="J209" i="3"/>
  <c r="J207" i="3"/>
  <c r="J205" i="3"/>
  <c r="J203" i="3"/>
  <c r="J201" i="3"/>
  <c r="J199" i="3"/>
  <c r="J197" i="3"/>
  <c r="J195" i="3"/>
  <c r="J193" i="3"/>
  <c r="J191" i="3"/>
  <c r="J189" i="3"/>
  <c r="J187" i="3"/>
  <c r="J185" i="3"/>
  <c r="J183" i="3"/>
  <c r="J181" i="3"/>
  <c r="J179" i="3"/>
  <c r="J177" i="3"/>
  <c r="J175" i="3"/>
  <c r="J173" i="3"/>
  <c r="J171" i="3"/>
  <c r="J169" i="3"/>
  <c r="J167" i="3"/>
  <c r="J165" i="3"/>
  <c r="J163" i="3"/>
  <c r="J161" i="3"/>
  <c r="J159" i="3"/>
  <c r="J157" i="3"/>
  <c r="J155" i="3"/>
  <c r="J153" i="3"/>
  <c r="J151" i="3"/>
  <c r="J149" i="3"/>
  <c r="J243" i="3"/>
  <c r="J239" i="3"/>
  <c r="J235" i="3"/>
  <c r="J231" i="3"/>
  <c r="J227" i="3"/>
  <c r="J223" i="3"/>
  <c r="J246" i="3"/>
  <c r="J244" i="3"/>
  <c r="J242" i="3"/>
  <c r="J240" i="3"/>
  <c r="J238" i="3"/>
  <c r="J236" i="3"/>
  <c r="J234" i="3"/>
  <c r="J232" i="3"/>
  <c r="J230" i="3"/>
  <c r="J228" i="3"/>
  <c r="J226" i="3"/>
  <c r="J224" i="3"/>
  <c r="J222" i="3"/>
  <c r="J220" i="3"/>
  <c r="J218" i="3"/>
  <c r="J216" i="3"/>
  <c r="J214" i="3"/>
  <c r="J212" i="3"/>
  <c r="J210" i="3"/>
  <c r="J208" i="3"/>
  <c r="J206" i="3"/>
  <c r="J204" i="3"/>
  <c r="J202" i="3"/>
  <c r="J200" i="3"/>
  <c r="J198" i="3"/>
  <c r="J196" i="3"/>
  <c r="J194" i="3"/>
  <c r="J192" i="3"/>
  <c r="J190" i="3"/>
  <c r="J188" i="3"/>
  <c r="J186" i="3"/>
  <c r="J184" i="3"/>
  <c r="J182" i="3"/>
  <c r="J180" i="3"/>
  <c r="J178" i="3"/>
  <c r="J176" i="3"/>
  <c r="J174" i="3"/>
  <c r="J172" i="3"/>
  <c r="J170" i="3"/>
  <c r="J168" i="3"/>
  <c r="J166" i="3"/>
  <c r="J164" i="3"/>
  <c r="J162" i="3"/>
  <c r="J160" i="3"/>
  <c r="J158" i="3"/>
  <c r="J156" i="3"/>
  <c r="J154" i="3"/>
  <c r="J152" i="3"/>
  <c r="J150" i="3"/>
  <c r="J148" i="3"/>
  <c r="J147" i="3"/>
  <c r="I245" i="3"/>
  <c r="I241" i="3"/>
  <c r="I237" i="3"/>
  <c r="I233" i="3"/>
  <c r="I229" i="3"/>
  <c r="I225" i="3"/>
  <c r="I221" i="3"/>
  <c r="I217" i="3"/>
  <c r="I215" i="3"/>
  <c r="I211" i="3"/>
  <c r="I209" i="3"/>
  <c r="I207" i="3"/>
  <c r="I205" i="3"/>
  <c r="I203" i="3"/>
  <c r="I199" i="3"/>
  <c r="I197" i="3"/>
  <c r="I195" i="3"/>
  <c r="I193" i="3"/>
  <c r="I191" i="3"/>
  <c r="I189" i="3"/>
  <c r="I187" i="3"/>
  <c r="I185" i="3"/>
  <c r="I183" i="3"/>
  <c r="I181" i="3"/>
  <c r="I179" i="3"/>
  <c r="I177" i="3"/>
  <c r="I175" i="3"/>
  <c r="I173" i="3"/>
  <c r="I171" i="3"/>
  <c r="I169" i="3"/>
  <c r="I167" i="3"/>
  <c r="I165" i="3"/>
  <c r="I163" i="3"/>
  <c r="I161" i="3"/>
  <c r="I159" i="3"/>
  <c r="I157" i="3"/>
  <c r="I155" i="3"/>
  <c r="I153" i="3"/>
  <c r="I151" i="3"/>
  <c r="I149" i="3"/>
  <c r="I243" i="3"/>
  <c r="I239" i="3"/>
  <c r="I235" i="3"/>
  <c r="I231" i="3"/>
  <c r="I227" i="3"/>
  <c r="I223" i="3"/>
  <c r="I219" i="3"/>
  <c r="I213" i="3"/>
  <c r="I201" i="3"/>
  <c r="I246" i="3"/>
  <c r="I244" i="3"/>
  <c r="I242" i="3"/>
  <c r="I240" i="3"/>
  <c r="I238" i="3"/>
  <c r="I236" i="3"/>
  <c r="I234" i="3"/>
  <c r="I232" i="3"/>
  <c r="I230" i="3"/>
  <c r="I228" i="3"/>
  <c r="I226" i="3"/>
  <c r="I224" i="3"/>
  <c r="I222" i="3"/>
  <c r="I220" i="3"/>
  <c r="I218" i="3"/>
  <c r="I216" i="3"/>
  <c r="I214" i="3"/>
  <c r="I212" i="3"/>
  <c r="I210" i="3"/>
  <c r="I208" i="3"/>
  <c r="I206" i="3"/>
  <c r="I204" i="3"/>
  <c r="I202" i="3"/>
  <c r="I200" i="3"/>
  <c r="I198" i="3"/>
  <c r="I196" i="3"/>
  <c r="I194" i="3"/>
  <c r="I192" i="3"/>
  <c r="I190" i="3"/>
  <c r="I188" i="3"/>
  <c r="I186" i="3"/>
  <c r="I184" i="3"/>
  <c r="I182" i="3"/>
  <c r="I180" i="3"/>
  <c r="I178" i="3"/>
  <c r="I176" i="3"/>
  <c r="I174" i="3"/>
  <c r="I172" i="3"/>
  <c r="I170" i="3"/>
  <c r="I168" i="3"/>
  <c r="I166" i="3"/>
  <c r="I164" i="3"/>
  <c r="I162" i="3"/>
  <c r="I160" i="3"/>
  <c r="I158" i="3"/>
  <c r="I156" i="3"/>
  <c r="I154" i="3"/>
  <c r="I152" i="3"/>
  <c r="I150" i="3"/>
  <c r="I148" i="3"/>
  <c r="I147" i="3"/>
  <c r="H147" i="3"/>
  <c r="H246" i="3"/>
  <c r="H242" i="3"/>
  <c r="H238" i="3"/>
  <c r="H234" i="3"/>
  <c r="H244" i="3"/>
  <c r="H240" i="3"/>
  <c r="H236" i="3"/>
  <c r="H232" i="3"/>
  <c r="H245" i="3"/>
  <c r="H243" i="3"/>
  <c r="H241" i="3"/>
  <c r="H239" i="3"/>
  <c r="H237" i="3"/>
  <c r="H235" i="3"/>
  <c r="H233" i="3"/>
  <c r="H231" i="3"/>
  <c r="H229" i="3"/>
  <c r="H227" i="3"/>
  <c r="H225" i="3"/>
  <c r="H223" i="3"/>
  <c r="H221" i="3"/>
  <c r="H219" i="3"/>
  <c r="H217" i="3"/>
  <c r="H215" i="3"/>
  <c r="H213" i="3"/>
  <c r="H211" i="3"/>
  <c r="H209" i="3"/>
  <c r="H207" i="3"/>
  <c r="H205" i="3"/>
  <c r="H203" i="3"/>
  <c r="H201" i="3"/>
  <c r="H199" i="3"/>
  <c r="H197" i="3"/>
  <c r="H195" i="3"/>
  <c r="H193" i="3"/>
  <c r="H191" i="3"/>
  <c r="H189" i="3"/>
  <c r="H187" i="3"/>
  <c r="H185" i="3"/>
  <c r="H183" i="3"/>
  <c r="H181" i="3"/>
  <c r="H179" i="3"/>
  <c r="H177" i="3"/>
  <c r="H175" i="3"/>
  <c r="H173" i="3"/>
  <c r="H171" i="3"/>
  <c r="H169" i="3"/>
  <c r="H167" i="3"/>
  <c r="H165" i="3"/>
  <c r="H163" i="3"/>
  <c r="H161" i="3"/>
  <c r="H159" i="3"/>
  <c r="H157" i="3"/>
  <c r="H155" i="3"/>
  <c r="H153" i="3"/>
  <c r="H151" i="3"/>
  <c r="H149" i="3"/>
  <c r="H230" i="3"/>
  <c r="H228" i="3"/>
  <c r="H226" i="3"/>
  <c r="H224" i="3"/>
  <c r="H222" i="3"/>
  <c r="H220" i="3"/>
  <c r="H218" i="3"/>
  <c r="H216" i="3"/>
  <c r="H214" i="3"/>
  <c r="H212" i="3"/>
  <c r="H210" i="3"/>
  <c r="H208" i="3"/>
  <c r="H206" i="3"/>
  <c r="H204" i="3"/>
  <c r="H202" i="3"/>
  <c r="H200" i="3"/>
  <c r="H198" i="3"/>
  <c r="H196" i="3"/>
  <c r="H194" i="3"/>
  <c r="H192" i="3"/>
  <c r="H190" i="3"/>
  <c r="H188" i="3"/>
  <c r="H186" i="3"/>
  <c r="H184" i="3"/>
  <c r="H182" i="3"/>
  <c r="H180" i="3"/>
  <c r="H178" i="3"/>
  <c r="H176" i="3"/>
  <c r="H174" i="3"/>
  <c r="H172" i="3"/>
  <c r="H170" i="3"/>
  <c r="H168" i="3"/>
  <c r="H166" i="3"/>
  <c r="H164" i="3"/>
  <c r="H162" i="3"/>
  <c r="H160" i="3"/>
  <c r="H158" i="3"/>
  <c r="H156" i="3"/>
  <c r="H154" i="3"/>
  <c r="H152" i="3"/>
  <c r="H150" i="3"/>
  <c r="H148" i="3"/>
  <c r="G240" i="3"/>
  <c r="G214" i="3"/>
  <c r="G220" i="3"/>
  <c r="G212" i="3"/>
  <c r="G244" i="3"/>
  <c r="G232" i="3"/>
  <c r="G222" i="3"/>
  <c r="G242" i="3"/>
  <c r="G234" i="3"/>
  <c r="G230" i="3"/>
  <c r="G226" i="3"/>
  <c r="G218" i="3"/>
  <c r="G210" i="3"/>
  <c r="G236" i="3"/>
  <c r="G228" i="3"/>
  <c r="G246" i="3"/>
  <c r="G238" i="3"/>
  <c r="G224" i="3"/>
  <c r="G216" i="3"/>
  <c r="G208" i="3"/>
  <c r="G243" i="3"/>
  <c r="G239" i="3"/>
  <c r="G235" i="3"/>
  <c r="G231" i="3"/>
  <c r="G227" i="3"/>
  <c r="G223" i="3"/>
  <c r="G219" i="3"/>
  <c r="G215" i="3"/>
  <c r="G211" i="3"/>
  <c r="G207" i="3"/>
  <c r="G203" i="3"/>
  <c r="G199" i="3"/>
  <c r="G195" i="3"/>
  <c r="G191" i="3"/>
  <c r="G187" i="3"/>
  <c r="G183" i="3"/>
  <c r="G179" i="3"/>
  <c r="G175" i="3"/>
  <c r="G171" i="3"/>
  <c r="G167" i="3"/>
  <c r="G163" i="3"/>
  <c r="G159" i="3"/>
  <c r="G157" i="3"/>
  <c r="G155" i="3"/>
  <c r="G151" i="3"/>
  <c r="G149" i="3"/>
  <c r="G245" i="3"/>
  <c r="G241" i="3"/>
  <c r="G237" i="3"/>
  <c r="G233" i="3"/>
  <c r="G229" i="3"/>
  <c r="G225" i="3"/>
  <c r="G221" i="3"/>
  <c r="G217" i="3"/>
  <c r="G213" i="3"/>
  <c r="G209" i="3"/>
  <c r="G205" i="3"/>
  <c r="G201" i="3"/>
  <c r="G197" i="3"/>
  <c r="G193" i="3"/>
  <c r="G189" i="3"/>
  <c r="G185" i="3"/>
  <c r="G181" i="3"/>
  <c r="G177" i="3"/>
  <c r="G173" i="3"/>
  <c r="G169" i="3"/>
  <c r="G165" i="3"/>
  <c r="G161" i="3"/>
  <c r="G153" i="3"/>
  <c r="G206" i="3"/>
  <c r="G204" i="3"/>
  <c r="G202" i="3"/>
  <c r="G200" i="3"/>
  <c r="G198" i="3"/>
  <c r="G196" i="3"/>
  <c r="G194" i="3"/>
  <c r="G192" i="3"/>
  <c r="G190" i="3"/>
  <c r="G188" i="3"/>
  <c r="G186" i="3"/>
  <c r="G184" i="3"/>
  <c r="G182" i="3"/>
  <c r="G180" i="3"/>
  <c r="G178" i="3"/>
  <c r="G176" i="3"/>
  <c r="G174" i="3"/>
  <c r="G172" i="3"/>
  <c r="G170" i="3"/>
  <c r="G168" i="3"/>
  <c r="G166" i="3"/>
  <c r="G164" i="3"/>
  <c r="G162" i="3"/>
  <c r="G160" i="3"/>
  <c r="G158" i="3"/>
  <c r="G156" i="3"/>
  <c r="G154" i="3"/>
  <c r="G152" i="3"/>
  <c r="G150" i="3"/>
  <c r="G148" i="3"/>
  <c r="G147" i="3"/>
  <c r="F244" i="3"/>
  <c r="F228" i="3"/>
  <c r="F236" i="3"/>
  <c r="F246" i="3"/>
  <c r="F234" i="3"/>
  <c r="F226" i="3"/>
  <c r="F240" i="3"/>
  <c r="F232" i="3"/>
  <c r="F242" i="3"/>
  <c r="F238" i="3"/>
  <c r="F230" i="3"/>
  <c r="F195" i="3"/>
  <c r="F191" i="3"/>
  <c r="F187" i="3"/>
  <c r="F183" i="3"/>
  <c r="F179" i="3"/>
  <c r="F175" i="3"/>
  <c r="F171" i="3"/>
  <c r="F169" i="3"/>
  <c r="F165" i="3"/>
  <c r="F163" i="3"/>
  <c r="F161" i="3"/>
  <c r="F159" i="3"/>
  <c r="F157" i="3"/>
  <c r="F155" i="3"/>
  <c r="F151" i="3"/>
  <c r="F149" i="3"/>
  <c r="F245" i="3"/>
  <c r="F243" i="3"/>
  <c r="F241" i="3"/>
  <c r="F239" i="3"/>
  <c r="F237" i="3"/>
  <c r="F235" i="3"/>
  <c r="F233" i="3"/>
  <c r="F231" i="3"/>
  <c r="F229" i="3"/>
  <c r="F227" i="3"/>
  <c r="F225" i="3"/>
  <c r="F223" i="3"/>
  <c r="F221" i="3"/>
  <c r="F219" i="3"/>
  <c r="F217" i="3"/>
  <c r="F215" i="3"/>
  <c r="F213" i="3"/>
  <c r="F211" i="3"/>
  <c r="F209" i="3"/>
  <c r="F207" i="3"/>
  <c r="F205" i="3"/>
  <c r="F203" i="3"/>
  <c r="F201" i="3"/>
  <c r="F199" i="3"/>
  <c r="F197" i="3"/>
  <c r="F193" i="3"/>
  <c r="F189" i="3"/>
  <c r="F185" i="3"/>
  <c r="F181" i="3"/>
  <c r="F177" i="3"/>
  <c r="F173" i="3"/>
  <c r="F167" i="3"/>
  <c r="F153" i="3"/>
  <c r="F224" i="3"/>
  <c r="F222" i="3"/>
  <c r="F220" i="3"/>
  <c r="F218" i="3"/>
  <c r="F216" i="3"/>
  <c r="F214" i="3"/>
  <c r="F212" i="3"/>
  <c r="F210" i="3"/>
  <c r="F208" i="3"/>
  <c r="F206" i="3"/>
  <c r="F204" i="3"/>
  <c r="F202" i="3"/>
  <c r="F200" i="3"/>
  <c r="F198" i="3"/>
  <c r="F196" i="3"/>
  <c r="F194" i="3"/>
  <c r="F192" i="3"/>
  <c r="F190" i="3"/>
  <c r="F188" i="3"/>
  <c r="F186" i="3"/>
  <c r="F184" i="3"/>
  <c r="F182" i="3"/>
  <c r="F180" i="3"/>
  <c r="F178" i="3"/>
  <c r="F176" i="3"/>
  <c r="F174" i="3"/>
  <c r="F172" i="3"/>
  <c r="F170" i="3"/>
  <c r="F168" i="3"/>
  <c r="F166" i="3"/>
  <c r="F164" i="3"/>
  <c r="F162" i="3"/>
  <c r="F160" i="3"/>
  <c r="F158" i="3"/>
  <c r="F156" i="3"/>
  <c r="F154" i="3"/>
  <c r="F152" i="3"/>
  <c r="F150" i="3"/>
  <c r="F148" i="3"/>
  <c r="F147" i="3"/>
  <c r="E147" i="3"/>
  <c r="E222" i="3"/>
  <c r="E246" i="3"/>
  <c r="E238" i="3"/>
  <c r="E230" i="3"/>
  <c r="E220" i="3"/>
  <c r="E212" i="3"/>
  <c r="E204" i="3"/>
  <c r="E206" i="3"/>
  <c r="E242" i="3"/>
  <c r="E234" i="3"/>
  <c r="E226" i="3"/>
  <c r="E218" i="3"/>
  <c r="E210" i="3"/>
  <c r="E202" i="3"/>
  <c r="E214" i="3"/>
  <c r="E244" i="3"/>
  <c r="E240" i="3"/>
  <c r="E236" i="3"/>
  <c r="E232" i="3"/>
  <c r="E228" i="3"/>
  <c r="E224" i="3"/>
  <c r="E216" i="3"/>
  <c r="E208" i="3"/>
  <c r="E200" i="3"/>
  <c r="E243" i="3"/>
  <c r="E239" i="3"/>
  <c r="E233" i="3"/>
  <c r="E229" i="3"/>
  <c r="E225" i="3"/>
  <c r="E221" i="3"/>
  <c r="E217" i="3"/>
  <c r="E213" i="3"/>
  <c r="E209" i="3"/>
  <c r="E205" i="3"/>
  <c r="E201" i="3"/>
  <c r="E197" i="3"/>
  <c r="E193" i="3"/>
  <c r="E189" i="3"/>
  <c r="E185" i="3"/>
  <c r="E181" i="3"/>
  <c r="E177" i="3"/>
  <c r="E173" i="3"/>
  <c r="E169" i="3"/>
  <c r="E163" i="3"/>
  <c r="E159" i="3"/>
  <c r="E157" i="3"/>
  <c r="E155" i="3"/>
  <c r="E153" i="3"/>
  <c r="E149" i="3"/>
  <c r="E245" i="3"/>
  <c r="E241" i="3"/>
  <c r="E237" i="3"/>
  <c r="E235" i="3"/>
  <c r="E231" i="3"/>
  <c r="E227" i="3"/>
  <c r="E223" i="3"/>
  <c r="E219" i="3"/>
  <c r="E215" i="3"/>
  <c r="E211" i="3"/>
  <c r="E207" i="3"/>
  <c r="E203" i="3"/>
  <c r="E199" i="3"/>
  <c r="E195" i="3"/>
  <c r="E191" i="3"/>
  <c r="E187" i="3"/>
  <c r="E183" i="3"/>
  <c r="E179" i="3"/>
  <c r="E175" i="3"/>
  <c r="E171" i="3"/>
  <c r="E167" i="3"/>
  <c r="E165" i="3"/>
  <c r="E161" i="3"/>
  <c r="E151" i="3"/>
  <c r="E198" i="3"/>
  <c r="E196" i="3"/>
  <c r="E194" i="3"/>
  <c r="E192" i="3"/>
  <c r="E190" i="3"/>
  <c r="E188" i="3"/>
  <c r="E186" i="3"/>
  <c r="E184" i="3"/>
  <c r="E182" i="3"/>
  <c r="E180" i="3"/>
  <c r="E178" i="3"/>
  <c r="E176" i="3"/>
  <c r="E174" i="3"/>
  <c r="E172" i="3"/>
  <c r="E170" i="3"/>
  <c r="E168" i="3"/>
  <c r="E166" i="3"/>
  <c r="E164" i="3"/>
  <c r="E162" i="3"/>
  <c r="E160" i="3"/>
  <c r="E158" i="3"/>
  <c r="E156" i="3"/>
  <c r="E154" i="3"/>
  <c r="E152" i="3"/>
  <c r="E150" i="3"/>
  <c r="E148" i="3"/>
  <c r="D246" i="3"/>
  <c r="D238" i="3"/>
  <c r="D230" i="3"/>
  <c r="D214" i="3"/>
  <c r="D236" i="3"/>
  <c r="D228" i="3"/>
  <c r="D220" i="3"/>
  <c r="D212" i="3"/>
  <c r="D244" i="3"/>
  <c r="D240" i="3"/>
  <c r="D234" i="3"/>
  <c r="D226" i="3"/>
  <c r="D218" i="3"/>
  <c r="D210" i="3"/>
  <c r="D242" i="3"/>
  <c r="D222" i="3"/>
  <c r="D232" i="3"/>
  <c r="D224" i="3"/>
  <c r="D216" i="3"/>
  <c r="D208" i="3"/>
  <c r="D243" i="3"/>
  <c r="D237" i="3"/>
  <c r="D233" i="3"/>
  <c r="D229" i="3"/>
  <c r="D225" i="3"/>
  <c r="D221" i="3"/>
  <c r="D217" i="3"/>
  <c r="D213" i="3"/>
  <c r="D209" i="3"/>
  <c r="D205" i="3"/>
  <c r="D201" i="3"/>
  <c r="D197" i="3"/>
  <c r="D193" i="3"/>
  <c r="D189" i="3"/>
  <c r="D187" i="3"/>
  <c r="D183" i="3"/>
  <c r="D181" i="3"/>
  <c r="D179" i="3"/>
  <c r="D177" i="3"/>
  <c r="D175" i="3"/>
  <c r="D173" i="3"/>
  <c r="D169" i="3"/>
  <c r="D167" i="3"/>
  <c r="D165" i="3"/>
  <c r="D163" i="3"/>
  <c r="D161" i="3"/>
  <c r="D159" i="3"/>
  <c r="D157" i="3"/>
  <c r="D155" i="3"/>
  <c r="D153" i="3"/>
  <c r="D151" i="3"/>
  <c r="D149" i="3"/>
  <c r="D245" i="3"/>
  <c r="D241" i="3"/>
  <c r="D239" i="3"/>
  <c r="D235" i="3"/>
  <c r="D231" i="3"/>
  <c r="D227" i="3"/>
  <c r="D223" i="3"/>
  <c r="D219" i="3"/>
  <c r="D215" i="3"/>
  <c r="D211" i="3"/>
  <c r="D207" i="3"/>
  <c r="D203" i="3"/>
  <c r="D199" i="3"/>
  <c r="D195" i="3"/>
  <c r="D191" i="3"/>
  <c r="D185" i="3"/>
  <c r="D171" i="3"/>
  <c r="D206" i="3"/>
  <c r="D204" i="3"/>
  <c r="D202" i="3"/>
  <c r="D200" i="3"/>
  <c r="D198" i="3"/>
  <c r="D196" i="3"/>
  <c r="D194" i="3"/>
  <c r="D192" i="3"/>
  <c r="D190" i="3"/>
  <c r="D188" i="3"/>
  <c r="D186" i="3"/>
  <c r="D184" i="3"/>
  <c r="D182" i="3"/>
  <c r="D180" i="3"/>
  <c r="D178" i="3"/>
  <c r="D176" i="3"/>
  <c r="D174" i="3"/>
  <c r="D172" i="3"/>
  <c r="D170" i="3"/>
  <c r="D168" i="3"/>
  <c r="D166" i="3"/>
  <c r="D164" i="3"/>
  <c r="D162" i="3"/>
  <c r="D160" i="3"/>
  <c r="D158" i="3"/>
  <c r="D156" i="3"/>
  <c r="D154" i="3"/>
  <c r="D152" i="3"/>
  <c r="D150" i="3"/>
  <c r="D148" i="3"/>
  <c r="D147" i="3"/>
  <c r="C212" i="3"/>
  <c r="C242" i="3"/>
  <c r="C234" i="3"/>
  <c r="C226" i="3"/>
  <c r="C210" i="3"/>
  <c r="C224" i="3"/>
  <c r="C216" i="3"/>
  <c r="C208" i="3"/>
  <c r="C220" i="3"/>
  <c r="C246" i="3"/>
  <c r="C238" i="3"/>
  <c r="C230" i="3"/>
  <c r="C218" i="3"/>
  <c r="C244" i="3"/>
  <c r="C240" i="3"/>
  <c r="C236" i="3"/>
  <c r="C232" i="3"/>
  <c r="C228" i="3"/>
  <c r="C222" i="3"/>
  <c r="C214" i="3"/>
  <c r="C206" i="3"/>
  <c r="C245" i="3"/>
  <c r="C241" i="3"/>
  <c r="C237" i="3"/>
  <c r="C233" i="3"/>
  <c r="C229" i="3"/>
  <c r="C225" i="3"/>
  <c r="C221" i="3"/>
  <c r="C217" i="3"/>
  <c r="C213" i="3"/>
  <c r="C209" i="3"/>
  <c r="C205" i="3"/>
  <c r="C201" i="3"/>
  <c r="C197" i="3"/>
  <c r="C193" i="3"/>
  <c r="C189" i="3"/>
  <c r="C185" i="3"/>
  <c r="C181" i="3"/>
  <c r="C177" i="3"/>
  <c r="C173" i="3"/>
  <c r="C169" i="3"/>
  <c r="C165" i="3"/>
  <c r="C161" i="3"/>
  <c r="C159" i="3"/>
  <c r="C157" i="3"/>
  <c r="C155" i="3"/>
  <c r="C151" i="3"/>
  <c r="C149" i="3"/>
  <c r="C243" i="3"/>
  <c r="C239" i="3"/>
  <c r="C235" i="3"/>
  <c r="C231" i="3"/>
  <c r="C227" i="3"/>
  <c r="C223" i="3"/>
  <c r="C219" i="3"/>
  <c r="C215" i="3"/>
  <c r="C211" i="3"/>
  <c r="C207" i="3"/>
  <c r="C203" i="3"/>
  <c r="C199" i="3"/>
  <c r="C195" i="3"/>
  <c r="C191" i="3"/>
  <c r="C187" i="3"/>
  <c r="C183" i="3"/>
  <c r="C179" i="3"/>
  <c r="C175" i="3"/>
  <c r="C171" i="3"/>
  <c r="C167" i="3"/>
  <c r="C163" i="3"/>
  <c r="C153" i="3"/>
  <c r="C204" i="3"/>
  <c r="C202" i="3"/>
  <c r="C200" i="3"/>
  <c r="C198" i="3"/>
  <c r="C196" i="3"/>
  <c r="C194" i="3"/>
  <c r="C192" i="3"/>
  <c r="C190" i="3"/>
  <c r="C188" i="3"/>
  <c r="C186" i="3"/>
  <c r="C184" i="3"/>
  <c r="C182" i="3"/>
  <c r="C180" i="3"/>
  <c r="C178" i="3"/>
  <c r="C176" i="3"/>
  <c r="C174" i="3"/>
  <c r="C172" i="3"/>
  <c r="C170" i="3"/>
  <c r="C168" i="3"/>
  <c r="C166" i="3"/>
  <c r="C164" i="3"/>
  <c r="C162" i="3"/>
  <c r="C160" i="3"/>
  <c r="C158" i="3"/>
  <c r="C156" i="3"/>
  <c r="C154" i="3"/>
  <c r="C152" i="3"/>
  <c r="C150" i="3"/>
  <c r="C148" i="3"/>
  <c r="C147" i="3"/>
  <c r="B147" i="3"/>
  <c r="B148" i="3"/>
  <c r="B240" i="3"/>
  <c r="B228" i="3"/>
  <c r="B218" i="3"/>
  <c r="B210" i="3"/>
  <c r="B216" i="3"/>
  <c r="B208" i="3"/>
  <c r="B236" i="3"/>
  <c r="B224" i="3"/>
  <c r="B242" i="3"/>
  <c r="B234" i="3"/>
  <c r="B226" i="3"/>
  <c r="B214" i="3"/>
  <c r="B206" i="3"/>
  <c r="B244" i="3"/>
  <c r="B232" i="3"/>
  <c r="B246" i="3"/>
  <c r="B238" i="3"/>
  <c r="B230" i="3"/>
  <c r="B222" i="3"/>
  <c r="B220" i="3"/>
  <c r="B212" i="3"/>
  <c r="B204" i="3"/>
  <c r="B245" i="3"/>
  <c r="B241" i="3"/>
  <c r="B237" i="3"/>
  <c r="B233" i="3"/>
  <c r="B229" i="3"/>
  <c r="B225" i="3"/>
  <c r="B221" i="3"/>
  <c r="B217" i="3"/>
  <c r="B213" i="3"/>
  <c r="B209" i="3"/>
  <c r="B205" i="3"/>
  <c r="B201" i="3"/>
  <c r="B197" i="3"/>
  <c r="B193" i="3"/>
  <c r="B189" i="3"/>
  <c r="B185" i="3"/>
  <c r="B181" i="3"/>
  <c r="B177" i="3"/>
  <c r="B173" i="3"/>
  <c r="B169" i="3"/>
  <c r="B165" i="3"/>
  <c r="B161" i="3"/>
  <c r="B159" i="3"/>
  <c r="B157" i="3"/>
  <c r="B155" i="3"/>
  <c r="B151" i="3"/>
  <c r="B149" i="3"/>
  <c r="B243" i="3"/>
  <c r="B239" i="3"/>
  <c r="B235" i="3"/>
  <c r="B231" i="3"/>
  <c r="B227" i="3"/>
  <c r="B223" i="3"/>
  <c r="B219" i="3"/>
  <c r="B215" i="3"/>
  <c r="B211" i="3"/>
  <c r="B207" i="3"/>
  <c r="B203" i="3"/>
  <c r="B199" i="3"/>
  <c r="B195" i="3"/>
  <c r="B191" i="3"/>
  <c r="B187" i="3"/>
  <c r="B183" i="3"/>
  <c r="B179" i="3"/>
  <c r="B175" i="3"/>
  <c r="B171" i="3"/>
  <c r="B167" i="3"/>
  <c r="B163" i="3"/>
  <c r="B153" i="3"/>
  <c r="B202" i="3"/>
  <c r="B200" i="3"/>
  <c r="B198" i="3"/>
  <c r="B196" i="3"/>
  <c r="B194" i="3"/>
  <c r="B192" i="3"/>
  <c r="B190" i="3"/>
  <c r="B188" i="3"/>
  <c r="B186" i="3"/>
  <c r="B184" i="3"/>
  <c r="B182" i="3"/>
  <c r="B180" i="3"/>
  <c r="B178" i="3"/>
  <c r="B176" i="3"/>
  <c r="B174" i="3"/>
  <c r="B172" i="3"/>
  <c r="B170" i="3"/>
  <c r="B168" i="3"/>
  <c r="B166" i="3"/>
  <c r="B164" i="3"/>
  <c r="B162" i="3"/>
  <c r="B160" i="3"/>
  <c r="B158" i="3"/>
  <c r="B156" i="3"/>
  <c r="B154" i="3"/>
  <c r="B152" i="3"/>
  <c r="B150" i="3"/>
  <c r="BF1" i="3"/>
  <c r="CF18" i="3"/>
  <c r="CF8" i="3"/>
  <c r="W5" i="3" l="1"/>
  <c r="AA5" i="3" s="1"/>
  <c r="V5" i="3"/>
  <c r="Z5" i="3" s="1"/>
  <c r="R129" i="3"/>
  <c r="BC128" i="3" s="1"/>
  <c r="R128" i="3"/>
  <c r="BC127" i="3" s="1"/>
  <c r="R127" i="3"/>
  <c r="BC126" i="3" s="1"/>
  <c r="R126" i="3"/>
  <c r="BC125" i="3" s="1"/>
  <c r="R125" i="3"/>
  <c r="BC124" i="3" s="1"/>
  <c r="R124" i="3"/>
  <c r="BC123" i="3" s="1"/>
  <c r="R123" i="3"/>
  <c r="BC122" i="3" s="1"/>
  <c r="R122" i="3"/>
  <c r="BC121" i="3" s="1"/>
  <c r="R121" i="3"/>
  <c r="BC120" i="3" s="1"/>
  <c r="R120" i="3"/>
  <c r="BC119" i="3" s="1"/>
  <c r="R119" i="3"/>
  <c r="BC118" i="3" s="1"/>
  <c r="R118" i="3"/>
  <c r="BC117" i="3" s="1"/>
  <c r="R117" i="3"/>
  <c r="BC116" i="3" s="1"/>
  <c r="R116" i="3"/>
  <c r="BC115" i="3" s="1"/>
  <c r="R115" i="3"/>
  <c r="BC114" i="3" s="1"/>
  <c r="R114" i="3"/>
  <c r="BC113" i="3" s="1"/>
  <c r="R113" i="3"/>
  <c r="BC112" i="3" s="1"/>
  <c r="R112" i="3"/>
  <c r="BC111" i="3" s="1"/>
  <c r="R111" i="3"/>
  <c r="BC110" i="3" s="1"/>
  <c r="R110" i="3"/>
  <c r="BC109" i="3" s="1"/>
  <c r="R109" i="3"/>
  <c r="BC108" i="3" s="1"/>
  <c r="R108" i="3"/>
  <c r="BC107" i="3" s="1"/>
  <c r="R107" i="3"/>
  <c r="BC106" i="3" s="1"/>
  <c r="R106" i="3"/>
  <c r="BC105" i="3" s="1"/>
  <c r="R105" i="3"/>
  <c r="BC104" i="3" s="1"/>
  <c r="R104" i="3"/>
  <c r="BC103" i="3" s="1"/>
  <c r="R103" i="3"/>
  <c r="BC102" i="3" s="1"/>
  <c r="R102" i="3"/>
  <c r="BC101" i="3" s="1"/>
  <c r="R101" i="3"/>
  <c r="BC100" i="3" s="1"/>
  <c r="R100" i="3"/>
  <c r="BC99" i="3" s="1"/>
  <c r="R99" i="3"/>
  <c r="BC98" i="3" s="1"/>
  <c r="R98" i="3"/>
  <c r="BC97" i="3" s="1"/>
  <c r="R97" i="3"/>
  <c r="BC96" i="3" s="1"/>
  <c r="R96" i="3"/>
  <c r="BC95" i="3" s="1"/>
  <c r="R95" i="3"/>
  <c r="BC94" i="3" s="1"/>
  <c r="R94" i="3"/>
  <c r="BC93" i="3" s="1"/>
  <c r="R93" i="3"/>
  <c r="BC92" i="3" s="1"/>
  <c r="R92" i="3"/>
  <c r="BC91" i="3" s="1"/>
  <c r="R91" i="3"/>
  <c r="BC90" i="3" s="1"/>
  <c r="R90" i="3"/>
  <c r="BC89" i="3" s="1"/>
  <c r="R89" i="3"/>
  <c r="BC88" i="3" s="1"/>
  <c r="R88" i="3"/>
  <c r="BC87" i="3" s="1"/>
  <c r="R87" i="3"/>
  <c r="BC86" i="3" s="1"/>
  <c r="R86" i="3"/>
  <c r="BC85" i="3" s="1"/>
  <c r="R85" i="3"/>
  <c r="BC84" i="3" s="1"/>
  <c r="R84" i="3"/>
  <c r="BC83" i="3" s="1"/>
  <c r="R83" i="3"/>
  <c r="BC82" i="3" s="1"/>
  <c r="R82" i="3"/>
  <c r="BC81" i="3" s="1"/>
  <c r="R81" i="3"/>
  <c r="BC80" i="3" s="1"/>
  <c r="R80" i="3"/>
  <c r="BC79" i="3" s="1"/>
  <c r="R79" i="3"/>
  <c r="BC78" i="3" s="1"/>
  <c r="R78" i="3"/>
  <c r="BC77" i="3" s="1"/>
  <c r="R77" i="3"/>
  <c r="BC76" i="3" s="1"/>
  <c r="R76" i="3"/>
  <c r="BC75" i="3" s="1"/>
  <c r="R75" i="3"/>
  <c r="BC74" i="3" s="1"/>
  <c r="R74" i="3"/>
  <c r="BC73" i="3" s="1"/>
  <c r="R73" i="3"/>
  <c r="BC72" i="3" s="1"/>
  <c r="R72" i="3"/>
  <c r="BC71" i="3" s="1"/>
  <c r="R71" i="3"/>
  <c r="BC70" i="3" s="1"/>
  <c r="R70" i="3"/>
  <c r="BC69" i="3" s="1"/>
  <c r="R69" i="3"/>
  <c r="BC68" i="3" s="1"/>
  <c r="R68" i="3"/>
  <c r="BC67" i="3" s="1"/>
  <c r="R67" i="3"/>
  <c r="BC66" i="3" s="1"/>
  <c r="R66" i="3"/>
  <c r="BC65" i="3" s="1"/>
  <c r="R65" i="3"/>
  <c r="BC64" i="3" s="1"/>
  <c r="R64" i="3"/>
  <c r="BC63" i="3" s="1"/>
  <c r="R63" i="3"/>
  <c r="BC62" i="3" s="1"/>
  <c r="R62" i="3"/>
  <c r="BC61" i="3" s="1"/>
  <c r="R61" i="3"/>
  <c r="BC60" i="3" s="1"/>
  <c r="R60" i="3"/>
  <c r="BC59" i="3" s="1"/>
  <c r="R59" i="3"/>
  <c r="BC58" i="3" s="1"/>
  <c r="R58" i="3"/>
  <c r="BC57" i="3" s="1"/>
  <c r="R57" i="3"/>
  <c r="BC56" i="3" s="1"/>
  <c r="R56" i="3"/>
  <c r="BC55" i="3" s="1"/>
  <c r="R55" i="3"/>
  <c r="BC54" i="3" s="1"/>
  <c r="R54" i="3"/>
  <c r="BC53" i="3" s="1"/>
  <c r="R53" i="3"/>
  <c r="BC52" i="3" s="1"/>
  <c r="R52" i="3"/>
  <c r="BC51" i="3" s="1"/>
  <c r="R51" i="3"/>
  <c r="BC50" i="3" s="1"/>
  <c r="R50" i="3"/>
  <c r="BC49" i="3" s="1"/>
  <c r="R49" i="3"/>
  <c r="BC48" i="3" s="1"/>
  <c r="R48" i="3"/>
  <c r="BC47" i="3" s="1"/>
  <c r="R47" i="3"/>
  <c r="BC46" i="3" s="1"/>
  <c r="R46" i="3"/>
  <c r="BC45" i="3" s="1"/>
  <c r="R45" i="3"/>
  <c r="BC44" i="3" s="1"/>
  <c r="R44" i="3"/>
  <c r="BC43" i="3" s="1"/>
  <c r="R43" i="3"/>
  <c r="BC42" i="3" s="1"/>
  <c r="R42" i="3"/>
  <c r="BC41" i="3" s="1"/>
  <c r="R41" i="3"/>
  <c r="BC40" i="3" s="1"/>
  <c r="R40" i="3"/>
  <c r="BC39" i="3" s="1"/>
  <c r="R39" i="3"/>
  <c r="BC38" i="3" s="1"/>
  <c r="R38" i="3"/>
  <c r="BC37" i="3" s="1"/>
  <c r="R37" i="3"/>
  <c r="BC36" i="3" s="1"/>
  <c r="R36" i="3"/>
  <c r="BC35" i="3" s="1"/>
  <c r="R35" i="3"/>
  <c r="BC34" i="3" s="1"/>
  <c r="R34" i="3"/>
  <c r="BC33" i="3" s="1"/>
  <c r="R33" i="3"/>
  <c r="BC32" i="3" s="1"/>
  <c r="R32" i="3"/>
  <c r="BC31" i="3" s="1"/>
  <c r="R31" i="3"/>
  <c r="BC30" i="3" s="1"/>
  <c r="R30" i="3"/>
  <c r="BC29" i="3" s="1"/>
  <c r="R29" i="3"/>
  <c r="BC28" i="3" s="1"/>
  <c r="R28" i="3"/>
  <c r="BC27" i="3" s="1"/>
  <c r="R27" i="3"/>
  <c r="BC26" i="3" s="1"/>
  <c r="R26" i="3"/>
  <c r="BC25" i="3" s="1"/>
  <c r="R25" i="3"/>
  <c r="BC24" i="3" s="1"/>
  <c r="R24" i="3"/>
  <c r="BC23" i="3" s="1"/>
  <c r="R23" i="3"/>
  <c r="BC22" i="3" s="1"/>
  <c r="R22" i="3"/>
  <c r="BC21" i="3" s="1"/>
  <c r="R21" i="3"/>
  <c r="BC20" i="3" s="1"/>
  <c r="R20" i="3"/>
  <c r="BC19" i="3" s="1"/>
  <c r="R19" i="3"/>
  <c r="BC18" i="3" s="1"/>
  <c r="R18" i="3"/>
  <c r="BC17" i="3" s="1"/>
  <c r="R17" i="3"/>
  <c r="BC16" i="3" s="1"/>
  <c r="R16" i="3"/>
  <c r="BC15" i="3" s="1"/>
  <c r="R15" i="3"/>
  <c r="BC14" i="3" s="1"/>
  <c r="R14" i="3"/>
  <c r="BC13" i="3" s="1"/>
  <c r="R13" i="3"/>
  <c r="BC12" i="3" s="1"/>
  <c r="R12" i="3"/>
  <c r="BC11" i="3" s="1"/>
  <c r="R11" i="3"/>
  <c r="BC10" i="3" s="1"/>
  <c r="R10" i="3"/>
  <c r="BC9" i="3" s="1"/>
  <c r="R9" i="3"/>
  <c r="BC8" i="3" s="1"/>
  <c r="R8" i="3"/>
  <c r="BC7" i="3" s="1"/>
  <c r="R7" i="3"/>
  <c r="BC6" i="3" s="1"/>
  <c r="R6" i="3"/>
  <c r="BC5" i="3" s="1"/>
  <c r="BF2" i="3" s="1"/>
  <c r="BK2" i="3" s="1"/>
  <c r="R5" i="3"/>
  <c r="BO10" i="3" l="1"/>
  <c r="BO14" i="3"/>
  <c r="BO18" i="3"/>
  <c r="BO22" i="3"/>
  <c r="BO26" i="3"/>
  <c r="BO30" i="3"/>
  <c r="BO34" i="3"/>
  <c r="BO38" i="3"/>
  <c r="BO42" i="3"/>
  <c r="BO46" i="3"/>
  <c r="BO50" i="3"/>
  <c r="BO7" i="3"/>
  <c r="BO11" i="3"/>
  <c r="BO15" i="3"/>
  <c r="BO19" i="3"/>
  <c r="BO23" i="3"/>
  <c r="BO27" i="3"/>
  <c r="BO31" i="3"/>
  <c r="BO35" i="3"/>
  <c r="BO39" i="3"/>
  <c r="BO43" i="3"/>
  <c r="BO47" i="3"/>
  <c r="BO8" i="3"/>
  <c r="BO12" i="3"/>
  <c r="BO16" i="3"/>
  <c r="BO20" i="3"/>
  <c r="BO24" i="3"/>
  <c r="BO28" i="3"/>
  <c r="BO32" i="3"/>
  <c r="BO9" i="3"/>
  <c r="BO13" i="3"/>
  <c r="BO17" i="3"/>
  <c r="BO21" i="3"/>
  <c r="BO25" i="3"/>
  <c r="BO29" i="3"/>
  <c r="BO33" i="3"/>
  <c r="BO41" i="3"/>
  <c r="BO49" i="3"/>
  <c r="BO54" i="3"/>
  <c r="BO58" i="3"/>
  <c r="BO62" i="3"/>
  <c r="BO66" i="3"/>
  <c r="BO70" i="3"/>
  <c r="BO74" i="3"/>
  <c r="BO78" i="3"/>
  <c r="BO82" i="3"/>
  <c r="BO86" i="3"/>
  <c r="BO90" i="3"/>
  <c r="BO94" i="3"/>
  <c r="BO98" i="3"/>
  <c r="BO102" i="3"/>
  <c r="BO6" i="3"/>
  <c r="BN10" i="3"/>
  <c r="BN14" i="3"/>
  <c r="BN18" i="3"/>
  <c r="BN22" i="3"/>
  <c r="BN26" i="3"/>
  <c r="BN30" i="3"/>
  <c r="BN34" i="3"/>
  <c r="BN38" i="3"/>
  <c r="BN42" i="3"/>
  <c r="BN46" i="3"/>
  <c r="BN50" i="3"/>
  <c r="BN54" i="3"/>
  <c r="BN58" i="3"/>
  <c r="BN62" i="3"/>
  <c r="BN66" i="3"/>
  <c r="BN70" i="3"/>
  <c r="BN74" i="3"/>
  <c r="BN78" i="3"/>
  <c r="BN82" i="3"/>
  <c r="BN86" i="3"/>
  <c r="BN90" i="3"/>
  <c r="BN94" i="3"/>
  <c r="BN98" i="3"/>
  <c r="BN102" i="3"/>
  <c r="BN6" i="3"/>
  <c r="BM10" i="3"/>
  <c r="BM14" i="3"/>
  <c r="BM18" i="3"/>
  <c r="BM22" i="3"/>
  <c r="BM26" i="3"/>
  <c r="BM30" i="3"/>
  <c r="BM34" i="3"/>
  <c r="BM38" i="3"/>
  <c r="BM42" i="3"/>
  <c r="BM46" i="3"/>
  <c r="BM50" i="3"/>
  <c r="BM54" i="3"/>
  <c r="BM58" i="3"/>
  <c r="BM62" i="3"/>
  <c r="BM66" i="3"/>
  <c r="BM70" i="3"/>
  <c r="BM74" i="3"/>
  <c r="BM78" i="3"/>
  <c r="BM82" i="3"/>
  <c r="BM86" i="3"/>
  <c r="BM90" i="3"/>
  <c r="BM94" i="3"/>
  <c r="BM98" i="3"/>
  <c r="BM102" i="3"/>
  <c r="BM6" i="3"/>
  <c r="BO36" i="3"/>
  <c r="BO44" i="3"/>
  <c r="BO51" i="3"/>
  <c r="BO55" i="3"/>
  <c r="BO59" i="3"/>
  <c r="BO63" i="3"/>
  <c r="BO67" i="3"/>
  <c r="BO71" i="3"/>
  <c r="BO75" i="3"/>
  <c r="BO79" i="3"/>
  <c r="BO83" i="3"/>
  <c r="BO87" i="3"/>
  <c r="BO91" i="3"/>
  <c r="BO95" i="3"/>
  <c r="BO99" i="3"/>
  <c r="BO103" i="3"/>
  <c r="BN7" i="3"/>
  <c r="BN11" i="3"/>
  <c r="BN15" i="3"/>
  <c r="BN19" i="3"/>
  <c r="BN23" i="3"/>
  <c r="BN27" i="3"/>
  <c r="BN31" i="3"/>
  <c r="BN35" i="3"/>
  <c r="BN39" i="3"/>
  <c r="BN43" i="3"/>
  <c r="BN47" i="3"/>
  <c r="BN51" i="3"/>
  <c r="BN55" i="3"/>
  <c r="BN59" i="3"/>
  <c r="BN63" i="3"/>
  <c r="BN67" i="3"/>
  <c r="BN71" i="3"/>
  <c r="BN75" i="3"/>
  <c r="BN79" i="3"/>
  <c r="BN83" i="3"/>
  <c r="BN87" i="3"/>
  <c r="BN91" i="3"/>
  <c r="BN95" i="3"/>
  <c r="BN99" i="3"/>
  <c r="BN103" i="3"/>
  <c r="BM7" i="3"/>
  <c r="BM11" i="3"/>
  <c r="BM15" i="3"/>
  <c r="BM19" i="3"/>
  <c r="BM23" i="3"/>
  <c r="BM27" i="3"/>
  <c r="BM31" i="3"/>
  <c r="BM35" i="3"/>
  <c r="BM39" i="3"/>
  <c r="BM43" i="3"/>
  <c r="BM47" i="3"/>
  <c r="BM51" i="3"/>
  <c r="BM55" i="3"/>
  <c r="BM59" i="3"/>
  <c r="BM63" i="3"/>
  <c r="BM67" i="3"/>
  <c r="BM71" i="3"/>
  <c r="BM75" i="3"/>
  <c r="BM79" i="3"/>
  <c r="BM83" i="3"/>
  <c r="BM87" i="3"/>
  <c r="BM91" i="3"/>
  <c r="BM95" i="3"/>
  <c r="BM99" i="3"/>
  <c r="BM103" i="3"/>
  <c r="BO37" i="3"/>
  <c r="BO45" i="3"/>
  <c r="BO52" i="3"/>
  <c r="BO56" i="3"/>
  <c r="BO60" i="3"/>
  <c r="BO64" i="3"/>
  <c r="BO68" i="3"/>
  <c r="BO72" i="3"/>
  <c r="BO76" i="3"/>
  <c r="BO80" i="3"/>
  <c r="BO84" i="3"/>
  <c r="BO88" i="3"/>
  <c r="BO92" i="3"/>
  <c r="BO96" i="3"/>
  <c r="BO100" i="3"/>
  <c r="BO104" i="3"/>
  <c r="BN8" i="3"/>
  <c r="BN12" i="3"/>
  <c r="BN16" i="3"/>
  <c r="BN20" i="3"/>
  <c r="BN24" i="3"/>
  <c r="BN28" i="3"/>
  <c r="BN32" i="3"/>
  <c r="BN36" i="3"/>
  <c r="BN40" i="3"/>
  <c r="BN44" i="3"/>
  <c r="BN48" i="3"/>
  <c r="BN52" i="3"/>
  <c r="BN56" i="3"/>
  <c r="BN60" i="3"/>
  <c r="BN64" i="3"/>
  <c r="BN68" i="3"/>
  <c r="BN72" i="3"/>
  <c r="BN76" i="3"/>
  <c r="BN80" i="3"/>
  <c r="BN84" i="3"/>
  <c r="BN88" i="3"/>
  <c r="BN92" i="3"/>
  <c r="BN96" i="3"/>
  <c r="BN100" i="3"/>
  <c r="BN104" i="3"/>
  <c r="BM8" i="3"/>
  <c r="BM12" i="3"/>
  <c r="BM16" i="3"/>
  <c r="BM20" i="3"/>
  <c r="BM24" i="3"/>
  <c r="BM28" i="3"/>
  <c r="BM32" i="3"/>
  <c r="BM36" i="3"/>
  <c r="BM40" i="3"/>
  <c r="BM44" i="3"/>
  <c r="BM48" i="3"/>
  <c r="BM52" i="3"/>
  <c r="BM56" i="3"/>
  <c r="BM60" i="3"/>
  <c r="BM64" i="3"/>
  <c r="BM68" i="3"/>
  <c r="BM72" i="3"/>
  <c r="BM76" i="3"/>
  <c r="BM80" i="3"/>
  <c r="BM84" i="3"/>
  <c r="BM88" i="3"/>
  <c r="BM92" i="3"/>
  <c r="BM96" i="3"/>
  <c r="BM100" i="3"/>
  <c r="BM104" i="3"/>
  <c r="BO40" i="3"/>
  <c r="BO48" i="3"/>
  <c r="BO53" i="3"/>
  <c r="BO57" i="3"/>
  <c r="BO61" i="3"/>
  <c r="BO65" i="3"/>
  <c r="BO69" i="3"/>
  <c r="BO73" i="3"/>
  <c r="BO77" i="3"/>
  <c r="BO81" i="3"/>
  <c r="BO85" i="3"/>
  <c r="BO89" i="3"/>
  <c r="BO93" i="3"/>
  <c r="BO97" i="3"/>
  <c r="BO101" i="3"/>
  <c r="BO105" i="3"/>
  <c r="BN9" i="3"/>
  <c r="BN13" i="3"/>
  <c r="BN17" i="3"/>
  <c r="BN21" i="3"/>
  <c r="BN25" i="3"/>
  <c r="BN29" i="3"/>
  <c r="BN33" i="3"/>
  <c r="BN37" i="3"/>
  <c r="BN41" i="3"/>
  <c r="BN45" i="3"/>
  <c r="BN49" i="3"/>
  <c r="BN53" i="3"/>
  <c r="BN57" i="3"/>
  <c r="BN61" i="3"/>
  <c r="BN65" i="3"/>
  <c r="BN69" i="3"/>
  <c r="BN73" i="3"/>
  <c r="BN77" i="3"/>
  <c r="BN81" i="3"/>
  <c r="BN85" i="3"/>
  <c r="BN89" i="3"/>
  <c r="BN93" i="3"/>
  <c r="BN97" i="3"/>
  <c r="BN101" i="3"/>
  <c r="BN105" i="3"/>
  <c r="BM9" i="3"/>
  <c r="BM13" i="3"/>
  <c r="BM17" i="3"/>
  <c r="BM21" i="3"/>
  <c r="BM25" i="3"/>
  <c r="BM29" i="3"/>
  <c r="BM33" i="3"/>
  <c r="BM37" i="3"/>
  <c r="BM41" i="3"/>
  <c r="BM45" i="3"/>
  <c r="BM49" i="3"/>
  <c r="BM53" i="3"/>
  <c r="BM57" i="3"/>
  <c r="BM61" i="3"/>
  <c r="BM65" i="3"/>
  <c r="BM69" i="3"/>
  <c r="BM73" i="3"/>
  <c r="BM77" i="3"/>
  <c r="BM81" i="3"/>
  <c r="BM85" i="3"/>
  <c r="BM89" i="3"/>
  <c r="BM93" i="3"/>
  <c r="BM97" i="3"/>
  <c r="BM101" i="3"/>
  <c r="BM105" i="3"/>
  <c r="X5" i="3"/>
  <c r="X129" i="3"/>
  <c r="V129" i="3" s="1"/>
  <c r="Z129" i="3" s="1"/>
  <c r="AB5" i="3"/>
  <c r="X124" i="3"/>
  <c r="X116" i="3"/>
  <c r="X108" i="3"/>
  <c r="X100" i="3"/>
  <c r="X92" i="3"/>
  <c r="X84" i="3"/>
  <c r="X76" i="3"/>
  <c r="X68" i="3"/>
  <c r="X60" i="3"/>
  <c r="X56" i="3"/>
  <c r="X48" i="3"/>
  <c r="X40" i="3"/>
  <c r="X31" i="3"/>
  <c r="X23" i="3"/>
  <c r="X15" i="3"/>
  <c r="X7" i="3"/>
  <c r="X127" i="3"/>
  <c r="X123" i="3"/>
  <c r="X119" i="3"/>
  <c r="X115" i="3"/>
  <c r="X111" i="3"/>
  <c r="X107" i="3"/>
  <c r="X103" i="3"/>
  <c r="X99" i="3"/>
  <c r="X95" i="3"/>
  <c r="X91" i="3"/>
  <c r="X87" i="3"/>
  <c r="X83" i="3"/>
  <c r="X79" i="3"/>
  <c r="X75" i="3"/>
  <c r="X71" i="3"/>
  <c r="X67" i="3"/>
  <c r="X63" i="3"/>
  <c r="X59" i="3"/>
  <c r="X55" i="3"/>
  <c r="X51" i="3"/>
  <c r="X47" i="3"/>
  <c r="X43" i="3"/>
  <c r="X39" i="3"/>
  <c r="X34" i="3"/>
  <c r="X30" i="3"/>
  <c r="X26" i="3"/>
  <c r="X22" i="3"/>
  <c r="X18" i="3"/>
  <c r="X14" i="3"/>
  <c r="X10" i="3"/>
  <c r="X6" i="3"/>
  <c r="X128" i="3"/>
  <c r="X120" i="3"/>
  <c r="X112" i="3"/>
  <c r="X104" i="3"/>
  <c r="X96" i="3"/>
  <c r="X88" i="3"/>
  <c r="X80" i="3"/>
  <c r="X72" i="3"/>
  <c r="X64" i="3"/>
  <c r="X52" i="3"/>
  <c r="X44" i="3"/>
  <c r="X35" i="3"/>
  <c r="X27" i="3"/>
  <c r="X19" i="3"/>
  <c r="X11" i="3"/>
  <c r="X126" i="3"/>
  <c r="X122" i="3"/>
  <c r="X118" i="3"/>
  <c r="X114" i="3"/>
  <c r="X110" i="3"/>
  <c r="X106" i="3"/>
  <c r="X102" i="3"/>
  <c r="X98" i="3"/>
  <c r="X94" i="3"/>
  <c r="X90" i="3"/>
  <c r="X86" i="3"/>
  <c r="X82" i="3"/>
  <c r="X78" i="3"/>
  <c r="X74" i="3"/>
  <c r="X70" i="3"/>
  <c r="X66" i="3"/>
  <c r="X62" i="3"/>
  <c r="X58" i="3"/>
  <c r="X54" i="3"/>
  <c r="X50" i="3"/>
  <c r="X46" i="3"/>
  <c r="X42" i="3"/>
  <c r="X37" i="3"/>
  <c r="X33" i="3"/>
  <c r="X29" i="3"/>
  <c r="X25" i="3"/>
  <c r="X21" i="3"/>
  <c r="X17" i="3"/>
  <c r="X13" i="3"/>
  <c r="X9" i="3"/>
  <c r="X38" i="3"/>
  <c r="X125" i="3"/>
  <c r="X121" i="3"/>
  <c r="X117" i="3"/>
  <c r="X113" i="3"/>
  <c r="X109" i="3"/>
  <c r="X105" i="3"/>
  <c r="X101" i="3"/>
  <c r="X97" i="3"/>
  <c r="X93" i="3"/>
  <c r="X89" i="3"/>
  <c r="X85" i="3"/>
  <c r="X81" i="3"/>
  <c r="X77" i="3"/>
  <c r="X73" i="3"/>
  <c r="X69" i="3"/>
  <c r="X65" i="3"/>
  <c r="X61" i="3"/>
  <c r="X57" i="3"/>
  <c r="X53" i="3"/>
  <c r="X49" i="3"/>
  <c r="X45" i="3"/>
  <c r="X41" i="3"/>
  <c r="X36" i="3"/>
  <c r="X32" i="3"/>
  <c r="X28" i="3"/>
  <c r="X24" i="3"/>
  <c r="X20" i="3"/>
  <c r="X16" i="3"/>
  <c r="X12" i="3"/>
  <c r="X8" i="3"/>
  <c r="T2" i="3"/>
  <c r="T1" i="3"/>
  <c r="H5" i="3"/>
  <c r="H6" i="3"/>
  <c r="H7" i="3"/>
  <c r="BB6" i="3" s="1"/>
  <c r="H8" i="3"/>
  <c r="H9" i="3"/>
  <c r="BB8" i="3" s="1"/>
  <c r="H10" i="3"/>
  <c r="BB9" i="3" s="1"/>
  <c r="H11" i="3"/>
  <c r="BB10" i="3" s="1"/>
  <c r="H12" i="3"/>
  <c r="BB11" i="3" s="1"/>
  <c r="H13" i="3"/>
  <c r="BB12" i="3" s="1"/>
  <c r="H14" i="3"/>
  <c r="BB13" i="3" s="1"/>
  <c r="H15" i="3"/>
  <c r="BB14" i="3" s="1"/>
  <c r="H16" i="3"/>
  <c r="BB15" i="3" s="1"/>
  <c r="H17" i="3"/>
  <c r="BB16" i="3" s="1"/>
  <c r="H18" i="3"/>
  <c r="BB17" i="3" s="1"/>
  <c r="H19" i="3"/>
  <c r="BB18" i="3" s="1"/>
  <c r="H20" i="3"/>
  <c r="BB19" i="3" s="1"/>
  <c r="H21" i="3"/>
  <c r="BB20" i="3" s="1"/>
  <c r="H22" i="3"/>
  <c r="BB21" i="3" s="1"/>
  <c r="H23" i="3"/>
  <c r="BB22" i="3" s="1"/>
  <c r="H24" i="3"/>
  <c r="BB23" i="3" s="1"/>
  <c r="H25" i="3"/>
  <c r="BB24" i="3" s="1"/>
  <c r="H26" i="3"/>
  <c r="BB25" i="3" s="1"/>
  <c r="H27" i="3"/>
  <c r="BB26" i="3" s="1"/>
  <c r="H28" i="3"/>
  <c r="BB27" i="3" s="1"/>
  <c r="H29" i="3"/>
  <c r="BB28" i="3" s="1"/>
  <c r="H30" i="3"/>
  <c r="BB29" i="3" s="1"/>
  <c r="H31" i="3"/>
  <c r="BB30" i="3" s="1"/>
  <c r="H32" i="3"/>
  <c r="BB31" i="3" s="1"/>
  <c r="H33" i="3"/>
  <c r="BB32" i="3" s="1"/>
  <c r="H34" i="3"/>
  <c r="BB33" i="3" s="1"/>
  <c r="H35" i="3"/>
  <c r="BB34" i="3" s="1"/>
  <c r="H36" i="3"/>
  <c r="BB35" i="3" s="1"/>
  <c r="H37" i="3"/>
  <c r="BB36" i="3" s="1"/>
  <c r="H38" i="3"/>
  <c r="BB37" i="3" s="1"/>
  <c r="H39" i="3"/>
  <c r="BB38" i="3" s="1"/>
  <c r="H40" i="3"/>
  <c r="BB39" i="3" s="1"/>
  <c r="H41" i="3"/>
  <c r="BB40" i="3" s="1"/>
  <c r="H42" i="3"/>
  <c r="BB41" i="3" s="1"/>
  <c r="H43" i="3"/>
  <c r="BB42" i="3" s="1"/>
  <c r="H44" i="3"/>
  <c r="BB43" i="3" s="1"/>
  <c r="H45" i="3"/>
  <c r="BB44" i="3" s="1"/>
  <c r="H46" i="3"/>
  <c r="BB45" i="3" s="1"/>
  <c r="H47" i="3"/>
  <c r="BB46" i="3" s="1"/>
  <c r="H48" i="3"/>
  <c r="BB47" i="3" s="1"/>
  <c r="H49" i="3"/>
  <c r="BB48" i="3" s="1"/>
  <c r="H50" i="3"/>
  <c r="BB49" i="3" s="1"/>
  <c r="H51" i="3"/>
  <c r="BB50" i="3" s="1"/>
  <c r="H52" i="3"/>
  <c r="BB51" i="3" s="1"/>
  <c r="H53" i="3"/>
  <c r="BB52" i="3" s="1"/>
  <c r="H54" i="3"/>
  <c r="BB53" i="3" s="1"/>
  <c r="H55" i="3"/>
  <c r="BB54" i="3" s="1"/>
  <c r="H56" i="3"/>
  <c r="BB55" i="3" s="1"/>
  <c r="H57" i="3"/>
  <c r="BB56" i="3" s="1"/>
  <c r="H58" i="3"/>
  <c r="BB57" i="3" s="1"/>
  <c r="H59" i="3"/>
  <c r="BB58" i="3" s="1"/>
  <c r="H60" i="3"/>
  <c r="BB59" i="3" s="1"/>
  <c r="H61" i="3"/>
  <c r="BB60" i="3" s="1"/>
  <c r="H62" i="3"/>
  <c r="BB61" i="3" s="1"/>
  <c r="H63" i="3"/>
  <c r="BB62" i="3" s="1"/>
  <c r="H64" i="3"/>
  <c r="BB63" i="3" s="1"/>
  <c r="H65" i="3"/>
  <c r="BB64" i="3" s="1"/>
  <c r="H66" i="3"/>
  <c r="BB65" i="3" s="1"/>
  <c r="H67" i="3"/>
  <c r="BB66" i="3" s="1"/>
  <c r="H68" i="3"/>
  <c r="BB67" i="3" s="1"/>
  <c r="H69" i="3"/>
  <c r="BB68" i="3" s="1"/>
  <c r="H70" i="3"/>
  <c r="BB69" i="3" s="1"/>
  <c r="H71" i="3"/>
  <c r="BB70" i="3" s="1"/>
  <c r="H72" i="3"/>
  <c r="BB71" i="3" s="1"/>
  <c r="H73" i="3"/>
  <c r="BB72" i="3" s="1"/>
  <c r="H74" i="3"/>
  <c r="BB73" i="3" s="1"/>
  <c r="H75" i="3"/>
  <c r="BB74" i="3" s="1"/>
  <c r="H76" i="3"/>
  <c r="BB75" i="3" s="1"/>
  <c r="H77" i="3"/>
  <c r="BB76" i="3" s="1"/>
  <c r="H78" i="3"/>
  <c r="BB77" i="3" s="1"/>
  <c r="H79" i="3"/>
  <c r="BB78" i="3" s="1"/>
  <c r="H80" i="3"/>
  <c r="BB79" i="3" s="1"/>
  <c r="H81" i="3"/>
  <c r="BB80" i="3" s="1"/>
  <c r="H82" i="3"/>
  <c r="BB81" i="3" s="1"/>
  <c r="H83" i="3"/>
  <c r="BB82" i="3" s="1"/>
  <c r="H84" i="3"/>
  <c r="BB83" i="3" s="1"/>
  <c r="H85" i="3"/>
  <c r="BB84" i="3" s="1"/>
  <c r="H86" i="3"/>
  <c r="BB85" i="3" s="1"/>
  <c r="H87" i="3"/>
  <c r="BB86" i="3" s="1"/>
  <c r="H88" i="3"/>
  <c r="BB87" i="3" s="1"/>
  <c r="H89" i="3"/>
  <c r="BB88" i="3" s="1"/>
  <c r="H90" i="3"/>
  <c r="BB89" i="3" s="1"/>
  <c r="H91" i="3"/>
  <c r="BB90" i="3" s="1"/>
  <c r="H92" i="3"/>
  <c r="BB91" i="3" s="1"/>
  <c r="H93" i="3"/>
  <c r="BB92" i="3" s="1"/>
  <c r="H94" i="3"/>
  <c r="BB93" i="3" s="1"/>
  <c r="H95" i="3"/>
  <c r="BB94" i="3" s="1"/>
  <c r="H96" i="3"/>
  <c r="BB95" i="3" s="1"/>
  <c r="H97" i="3"/>
  <c r="BB96" i="3" s="1"/>
  <c r="H98" i="3"/>
  <c r="BB97" i="3" s="1"/>
  <c r="H99" i="3"/>
  <c r="BB98" i="3" s="1"/>
  <c r="H100" i="3"/>
  <c r="BB99" i="3" s="1"/>
  <c r="H101" i="3"/>
  <c r="BB100" i="3" s="1"/>
  <c r="H102" i="3"/>
  <c r="BB101" i="3" s="1"/>
  <c r="H103" i="3"/>
  <c r="BB102" i="3" s="1"/>
  <c r="H104" i="3"/>
  <c r="BB103" i="3" s="1"/>
  <c r="H105" i="3"/>
  <c r="BB104" i="3" s="1"/>
  <c r="H106" i="3"/>
  <c r="BB105" i="3" s="1"/>
  <c r="H107" i="3"/>
  <c r="BB106" i="3" s="1"/>
  <c r="H108" i="3"/>
  <c r="BB107" i="3" s="1"/>
  <c r="H109" i="3"/>
  <c r="BB108" i="3" s="1"/>
  <c r="H110" i="3"/>
  <c r="BB109" i="3" s="1"/>
  <c r="H111" i="3"/>
  <c r="BB110" i="3" s="1"/>
  <c r="H112" i="3"/>
  <c r="BB111" i="3" s="1"/>
  <c r="H113" i="3"/>
  <c r="BB112" i="3" s="1"/>
  <c r="H114" i="3"/>
  <c r="BB113" i="3" s="1"/>
  <c r="H115" i="3"/>
  <c r="BB114" i="3" s="1"/>
  <c r="H116" i="3"/>
  <c r="BB115" i="3" s="1"/>
  <c r="H117" i="3"/>
  <c r="BB116" i="3" s="1"/>
  <c r="H118" i="3"/>
  <c r="BB117" i="3" s="1"/>
  <c r="H119" i="3"/>
  <c r="BB118" i="3" s="1"/>
  <c r="H120" i="3"/>
  <c r="BB119" i="3" s="1"/>
  <c r="H121" i="3"/>
  <c r="BB120" i="3" s="1"/>
  <c r="H122" i="3"/>
  <c r="BB121" i="3" s="1"/>
  <c r="H123" i="3"/>
  <c r="BB122" i="3" s="1"/>
  <c r="H124" i="3"/>
  <c r="BB123" i="3" s="1"/>
  <c r="H125" i="3"/>
  <c r="BB124" i="3" s="1"/>
  <c r="H126" i="3"/>
  <c r="BB125" i="3" s="1"/>
  <c r="H127" i="3"/>
  <c r="BB126" i="3" s="1"/>
  <c r="H128" i="3"/>
  <c r="BB127" i="3" s="1"/>
  <c r="H129" i="3"/>
  <c r="BB128" i="3" s="1"/>
  <c r="Y129" i="3" l="1"/>
  <c r="BD128" i="3" s="1"/>
  <c r="W129" i="3"/>
  <c r="AA129" i="3" s="1"/>
  <c r="J2" i="3"/>
  <c r="BK1" i="3"/>
  <c r="AC5" i="3"/>
  <c r="T3" i="3"/>
  <c r="T5" i="3"/>
  <c r="Y45" i="3"/>
  <c r="BD44" i="3" s="1"/>
  <c r="W45" i="3"/>
  <c r="AA45" i="3" s="1"/>
  <c r="V45" i="3"/>
  <c r="Z45" i="3" s="1"/>
  <c r="Y93" i="3"/>
  <c r="BD92" i="3" s="1"/>
  <c r="W93" i="3"/>
  <c r="AA93" i="3" s="1"/>
  <c r="V93" i="3"/>
  <c r="Z93" i="3" s="1"/>
  <c r="Y50" i="3"/>
  <c r="BD49" i="3" s="1"/>
  <c r="W50" i="3"/>
  <c r="AA50" i="3" s="1"/>
  <c r="V50" i="3"/>
  <c r="Z50" i="3" s="1"/>
  <c r="Y82" i="3"/>
  <c r="BD81" i="3" s="1"/>
  <c r="W82" i="3"/>
  <c r="AA82" i="3" s="1"/>
  <c r="V82" i="3"/>
  <c r="Z82" i="3" s="1"/>
  <c r="Y114" i="3"/>
  <c r="BD113" i="3" s="1"/>
  <c r="W114" i="3"/>
  <c r="AA114" i="3" s="1"/>
  <c r="V114" i="3"/>
  <c r="Z114" i="3" s="1"/>
  <c r="Y44" i="3"/>
  <c r="BD43" i="3" s="1"/>
  <c r="W44" i="3"/>
  <c r="AA44" i="3" s="1"/>
  <c r="V44" i="3"/>
  <c r="Z44" i="3" s="1"/>
  <c r="Y112" i="3"/>
  <c r="BD111" i="3" s="1"/>
  <c r="W112" i="3"/>
  <c r="AA112" i="3" s="1"/>
  <c r="V112" i="3"/>
  <c r="Z112" i="3" s="1"/>
  <c r="W26" i="3"/>
  <c r="AA26" i="3" s="1"/>
  <c r="Y26" i="3"/>
  <c r="BD25" i="3" s="1"/>
  <c r="V26" i="3"/>
  <c r="Z26" i="3" s="1"/>
  <c r="Y75" i="3"/>
  <c r="BD74" i="3" s="1"/>
  <c r="W75" i="3"/>
  <c r="AA75" i="3" s="1"/>
  <c r="V75" i="3"/>
  <c r="Z75" i="3" s="1"/>
  <c r="Y116" i="3"/>
  <c r="BD115" i="3" s="1"/>
  <c r="W116" i="3"/>
  <c r="AA116" i="3" s="1"/>
  <c r="V116" i="3"/>
  <c r="Z116" i="3" s="1"/>
  <c r="Y61" i="3"/>
  <c r="BD60" i="3" s="1"/>
  <c r="W61" i="3"/>
  <c r="AA61" i="3" s="1"/>
  <c r="V61" i="3"/>
  <c r="Z61" i="3" s="1"/>
  <c r="Y109" i="3"/>
  <c r="BD108" i="3" s="1"/>
  <c r="W109" i="3"/>
  <c r="AA109" i="3" s="1"/>
  <c r="V109" i="3"/>
  <c r="Z109" i="3" s="1"/>
  <c r="Y33" i="3"/>
  <c r="BD32" i="3" s="1"/>
  <c r="W33" i="3"/>
  <c r="AA33" i="3" s="1"/>
  <c r="V33" i="3"/>
  <c r="Z33" i="3" s="1"/>
  <c r="Y66" i="3"/>
  <c r="BD65" i="3" s="1"/>
  <c r="W66" i="3"/>
  <c r="AA66" i="3" s="1"/>
  <c r="V66" i="3"/>
  <c r="Z66" i="3" s="1"/>
  <c r="Y98" i="3"/>
  <c r="BD97" i="3" s="1"/>
  <c r="W98" i="3"/>
  <c r="AA98" i="3" s="1"/>
  <c r="V98" i="3"/>
  <c r="Z98" i="3" s="1"/>
  <c r="Y11" i="3"/>
  <c r="BD10" i="3" s="1"/>
  <c r="W11" i="3"/>
  <c r="AA11" i="3" s="1"/>
  <c r="V11" i="3"/>
  <c r="Z11" i="3" s="1"/>
  <c r="Y80" i="3"/>
  <c r="BD79" i="3" s="1"/>
  <c r="W80" i="3"/>
  <c r="AA80" i="3" s="1"/>
  <c r="V80" i="3"/>
  <c r="Z80" i="3" s="1"/>
  <c r="W10" i="3"/>
  <c r="AA10" i="3" s="1"/>
  <c r="Y10" i="3"/>
  <c r="BD9" i="3" s="1"/>
  <c r="V10" i="3"/>
  <c r="Z10" i="3" s="1"/>
  <c r="Y43" i="3"/>
  <c r="BD42" i="3" s="1"/>
  <c r="W43" i="3"/>
  <c r="AA43" i="3" s="1"/>
  <c r="V43" i="3"/>
  <c r="Z43" i="3" s="1"/>
  <c r="Y59" i="3"/>
  <c r="BD58" i="3" s="1"/>
  <c r="W59" i="3"/>
  <c r="AA59" i="3" s="1"/>
  <c r="V59" i="3"/>
  <c r="Z59" i="3" s="1"/>
  <c r="Y91" i="3"/>
  <c r="BD90" i="3" s="1"/>
  <c r="W91" i="3"/>
  <c r="AA91" i="3" s="1"/>
  <c r="V91" i="3"/>
  <c r="Z91" i="3" s="1"/>
  <c r="Y107" i="3"/>
  <c r="BD106" i="3" s="1"/>
  <c r="W107" i="3"/>
  <c r="AA107" i="3" s="1"/>
  <c r="V107" i="3"/>
  <c r="Z107" i="3" s="1"/>
  <c r="Y123" i="3"/>
  <c r="BD122" i="3" s="1"/>
  <c r="W123" i="3"/>
  <c r="AA123" i="3" s="1"/>
  <c r="V123" i="3"/>
  <c r="Z123" i="3" s="1"/>
  <c r="Y23" i="3"/>
  <c r="BD22" i="3" s="1"/>
  <c r="W23" i="3"/>
  <c r="AA23" i="3" s="1"/>
  <c r="V23" i="3"/>
  <c r="Z23" i="3" s="1"/>
  <c r="Y56" i="3"/>
  <c r="BD55" i="3" s="1"/>
  <c r="W56" i="3"/>
  <c r="AA56" i="3" s="1"/>
  <c r="V56" i="3"/>
  <c r="Z56" i="3" s="1"/>
  <c r="Y84" i="3"/>
  <c r="BD83" i="3" s="1"/>
  <c r="W84" i="3"/>
  <c r="AA84" i="3" s="1"/>
  <c r="V84" i="3"/>
  <c r="Z84" i="3" s="1"/>
  <c r="Y16" i="3"/>
  <c r="BD15" i="3" s="1"/>
  <c r="V16" i="3"/>
  <c r="Z16" i="3" s="1"/>
  <c r="W16" i="3"/>
  <c r="AA16" i="3" s="1"/>
  <c r="Y32" i="3"/>
  <c r="BD31" i="3" s="1"/>
  <c r="W32" i="3"/>
  <c r="AA32" i="3" s="1"/>
  <c r="V32" i="3"/>
  <c r="Z32" i="3" s="1"/>
  <c r="Y49" i="3"/>
  <c r="BD48" i="3" s="1"/>
  <c r="W49" i="3"/>
  <c r="AA49" i="3" s="1"/>
  <c r="V49" i="3"/>
  <c r="Z49" i="3" s="1"/>
  <c r="Y65" i="3"/>
  <c r="BD64" i="3" s="1"/>
  <c r="W65" i="3"/>
  <c r="AA65" i="3" s="1"/>
  <c r="V65" i="3"/>
  <c r="Z65" i="3" s="1"/>
  <c r="Y81" i="3"/>
  <c r="BD80" i="3" s="1"/>
  <c r="W81" i="3"/>
  <c r="AA81" i="3" s="1"/>
  <c r="V81" i="3"/>
  <c r="Z81" i="3" s="1"/>
  <c r="Y97" i="3"/>
  <c r="BD96" i="3" s="1"/>
  <c r="W97" i="3"/>
  <c r="AA97" i="3" s="1"/>
  <c r="V97" i="3"/>
  <c r="Z97" i="3" s="1"/>
  <c r="Y113" i="3"/>
  <c r="BD112" i="3" s="1"/>
  <c r="W113" i="3"/>
  <c r="AA113" i="3" s="1"/>
  <c r="V113" i="3"/>
  <c r="Z113" i="3" s="1"/>
  <c r="Y38" i="3"/>
  <c r="BD37" i="3" s="1"/>
  <c r="W38" i="3"/>
  <c r="AA38" i="3" s="1"/>
  <c r="V38" i="3"/>
  <c r="Z38" i="3" s="1"/>
  <c r="Y21" i="3"/>
  <c r="BD20" i="3" s="1"/>
  <c r="W21" i="3"/>
  <c r="AA21" i="3" s="1"/>
  <c r="V21" i="3"/>
  <c r="Z21" i="3" s="1"/>
  <c r="Y37" i="3"/>
  <c r="BD36" i="3" s="1"/>
  <c r="W37" i="3"/>
  <c r="AA37" i="3" s="1"/>
  <c r="V37" i="3"/>
  <c r="Z37" i="3" s="1"/>
  <c r="Y54" i="3"/>
  <c r="BD53" i="3" s="1"/>
  <c r="W54" i="3"/>
  <c r="AA54" i="3" s="1"/>
  <c r="V54" i="3"/>
  <c r="Z54" i="3" s="1"/>
  <c r="Y70" i="3"/>
  <c r="BD69" i="3" s="1"/>
  <c r="W70" i="3"/>
  <c r="AA70" i="3" s="1"/>
  <c r="V70" i="3"/>
  <c r="Z70" i="3" s="1"/>
  <c r="Y86" i="3"/>
  <c r="BD85" i="3" s="1"/>
  <c r="W86" i="3"/>
  <c r="AA86" i="3" s="1"/>
  <c r="V86" i="3"/>
  <c r="Z86" i="3" s="1"/>
  <c r="Y102" i="3"/>
  <c r="BD101" i="3" s="1"/>
  <c r="W102" i="3"/>
  <c r="AA102" i="3" s="1"/>
  <c r="V102" i="3"/>
  <c r="Z102" i="3" s="1"/>
  <c r="Y118" i="3"/>
  <c r="BD117" i="3" s="1"/>
  <c r="W118" i="3"/>
  <c r="AA118" i="3" s="1"/>
  <c r="V118" i="3"/>
  <c r="Z118" i="3" s="1"/>
  <c r="Y19" i="3"/>
  <c r="BD18" i="3" s="1"/>
  <c r="W19" i="3"/>
  <c r="AA19" i="3" s="1"/>
  <c r="V19" i="3"/>
  <c r="Z19" i="3" s="1"/>
  <c r="Y52" i="3"/>
  <c r="BD51" i="3" s="1"/>
  <c r="W52" i="3"/>
  <c r="AA52" i="3" s="1"/>
  <c r="V52" i="3"/>
  <c r="Z52" i="3" s="1"/>
  <c r="Y88" i="3"/>
  <c r="BD87" i="3" s="1"/>
  <c r="W88" i="3"/>
  <c r="AA88" i="3" s="1"/>
  <c r="V88" i="3"/>
  <c r="Z88" i="3" s="1"/>
  <c r="Y120" i="3"/>
  <c r="BD119" i="3" s="1"/>
  <c r="W120" i="3"/>
  <c r="AA120" i="3" s="1"/>
  <c r="V120" i="3"/>
  <c r="Z120" i="3" s="1"/>
  <c r="W14" i="3"/>
  <c r="AA14" i="3" s="1"/>
  <c r="Y14" i="3"/>
  <c r="BD13" i="3" s="1"/>
  <c r="V14" i="3"/>
  <c r="Z14" i="3" s="1"/>
  <c r="W30" i="3"/>
  <c r="AA30" i="3" s="1"/>
  <c r="Y30" i="3"/>
  <c r="BD29" i="3" s="1"/>
  <c r="V30" i="3"/>
  <c r="Z30" i="3" s="1"/>
  <c r="W47" i="3"/>
  <c r="AA47" i="3" s="1"/>
  <c r="Y47" i="3"/>
  <c r="BD46" i="3" s="1"/>
  <c r="V47" i="3"/>
  <c r="Z47" i="3" s="1"/>
  <c r="Y63" i="3"/>
  <c r="BD62" i="3" s="1"/>
  <c r="W63" i="3"/>
  <c r="AA63" i="3" s="1"/>
  <c r="V63" i="3"/>
  <c r="Z63" i="3" s="1"/>
  <c r="Y79" i="3"/>
  <c r="BD78" i="3" s="1"/>
  <c r="V79" i="3"/>
  <c r="Z79" i="3" s="1"/>
  <c r="W79" i="3"/>
  <c r="AA79" i="3" s="1"/>
  <c r="Y95" i="3"/>
  <c r="BD94" i="3" s="1"/>
  <c r="W95" i="3"/>
  <c r="AA95" i="3" s="1"/>
  <c r="V95" i="3"/>
  <c r="Z95" i="3" s="1"/>
  <c r="W111" i="3"/>
  <c r="AA111" i="3" s="1"/>
  <c r="V111" i="3"/>
  <c r="Z111" i="3" s="1"/>
  <c r="Y111" i="3"/>
  <c r="BD110" i="3" s="1"/>
  <c r="Y127" i="3"/>
  <c r="BD126" i="3" s="1"/>
  <c r="W127" i="3"/>
  <c r="AA127" i="3" s="1"/>
  <c r="V127" i="3"/>
  <c r="Z127" i="3" s="1"/>
  <c r="Y31" i="3"/>
  <c r="BD30" i="3" s="1"/>
  <c r="W31" i="3"/>
  <c r="AA31" i="3" s="1"/>
  <c r="V31" i="3"/>
  <c r="Z31" i="3" s="1"/>
  <c r="Y60" i="3"/>
  <c r="BD59" i="3" s="1"/>
  <c r="W60" i="3"/>
  <c r="AA60" i="3" s="1"/>
  <c r="V60" i="3"/>
  <c r="Z60" i="3" s="1"/>
  <c r="Y92" i="3"/>
  <c r="BD91" i="3" s="1"/>
  <c r="W92" i="3"/>
  <c r="AA92" i="3" s="1"/>
  <c r="V92" i="3"/>
  <c r="Z92" i="3" s="1"/>
  <c r="Y124" i="3"/>
  <c r="BD123" i="3" s="1"/>
  <c r="W124" i="3"/>
  <c r="AA124" i="3" s="1"/>
  <c r="V124" i="3"/>
  <c r="Z124" i="3" s="1"/>
  <c r="Y28" i="3"/>
  <c r="BD27" i="3" s="1"/>
  <c r="W28" i="3"/>
  <c r="AA28" i="3" s="1"/>
  <c r="V28" i="3"/>
  <c r="Z28" i="3" s="1"/>
  <c r="Y125" i="3"/>
  <c r="BD124" i="3" s="1"/>
  <c r="W125" i="3"/>
  <c r="AA125" i="3" s="1"/>
  <c r="V125" i="3"/>
  <c r="Z125" i="3" s="1"/>
  <c r="Y53" i="3"/>
  <c r="BD52" i="3" s="1"/>
  <c r="W53" i="3"/>
  <c r="AA53" i="3" s="1"/>
  <c r="V53" i="3"/>
  <c r="Z53" i="3" s="1"/>
  <c r="Y101" i="3"/>
  <c r="BD100" i="3" s="1"/>
  <c r="W101" i="3"/>
  <c r="AA101" i="3" s="1"/>
  <c r="V101" i="3"/>
  <c r="Z101" i="3" s="1"/>
  <c r="Y25" i="3"/>
  <c r="BD24" i="3" s="1"/>
  <c r="W25" i="3"/>
  <c r="AA25" i="3" s="1"/>
  <c r="V25" i="3"/>
  <c r="Z25" i="3" s="1"/>
  <c r="Y90" i="3"/>
  <c r="BD89" i="3" s="1"/>
  <c r="W90" i="3"/>
  <c r="AA90" i="3" s="1"/>
  <c r="V90" i="3"/>
  <c r="Z90" i="3" s="1"/>
  <c r="Y27" i="3"/>
  <c r="BD26" i="3" s="1"/>
  <c r="W27" i="3"/>
  <c r="AA27" i="3" s="1"/>
  <c r="V27" i="3"/>
  <c r="Z27" i="3" s="1"/>
  <c r="Y64" i="3"/>
  <c r="BD63" i="3" s="1"/>
  <c r="W64" i="3"/>
  <c r="AA64" i="3" s="1"/>
  <c r="V64" i="3"/>
  <c r="Z64" i="3" s="1"/>
  <c r="Y128" i="3"/>
  <c r="BD127" i="3" s="1"/>
  <c r="W128" i="3"/>
  <c r="AA128" i="3" s="1"/>
  <c r="V128" i="3"/>
  <c r="Z128" i="3" s="1"/>
  <c r="W18" i="3"/>
  <c r="AA18" i="3" s="1"/>
  <c r="Y18" i="3"/>
  <c r="BD17" i="3" s="1"/>
  <c r="V18" i="3"/>
  <c r="Z18" i="3" s="1"/>
  <c r="Y34" i="3"/>
  <c r="BD33" i="3" s="1"/>
  <c r="W34" i="3"/>
  <c r="AA34" i="3" s="1"/>
  <c r="V34" i="3"/>
  <c r="Z34" i="3" s="1"/>
  <c r="Y51" i="3"/>
  <c r="BD50" i="3" s="1"/>
  <c r="W51" i="3"/>
  <c r="AA51" i="3" s="1"/>
  <c r="V51" i="3"/>
  <c r="Z51" i="3" s="1"/>
  <c r="Y67" i="3"/>
  <c r="BD66" i="3" s="1"/>
  <c r="W67" i="3"/>
  <c r="AA67" i="3" s="1"/>
  <c r="V67" i="3"/>
  <c r="Z67" i="3" s="1"/>
  <c r="Y83" i="3"/>
  <c r="BD82" i="3" s="1"/>
  <c r="W83" i="3"/>
  <c r="AA83" i="3" s="1"/>
  <c r="V83" i="3"/>
  <c r="Z83" i="3" s="1"/>
  <c r="Y99" i="3"/>
  <c r="BD98" i="3" s="1"/>
  <c r="W99" i="3"/>
  <c r="AA99" i="3" s="1"/>
  <c r="V99" i="3"/>
  <c r="Z99" i="3" s="1"/>
  <c r="Y115" i="3"/>
  <c r="BD114" i="3" s="1"/>
  <c r="W115" i="3"/>
  <c r="AA115" i="3" s="1"/>
  <c r="V115" i="3"/>
  <c r="Z115" i="3" s="1"/>
  <c r="Y7" i="3"/>
  <c r="BD6" i="3" s="1"/>
  <c r="W7" i="3"/>
  <c r="AA7" i="3" s="1"/>
  <c r="V7" i="3"/>
  <c r="Z7" i="3" s="1"/>
  <c r="Y40" i="3"/>
  <c r="BD39" i="3" s="1"/>
  <c r="W40" i="3"/>
  <c r="AA40" i="3" s="1"/>
  <c r="V40" i="3"/>
  <c r="Z40" i="3" s="1"/>
  <c r="Y68" i="3"/>
  <c r="BD67" i="3" s="1"/>
  <c r="W68" i="3"/>
  <c r="AA68" i="3" s="1"/>
  <c r="V68" i="3"/>
  <c r="Z68" i="3" s="1"/>
  <c r="Y100" i="3"/>
  <c r="BD99" i="3" s="1"/>
  <c r="V100" i="3"/>
  <c r="Z100" i="3" s="1"/>
  <c r="W100" i="3"/>
  <c r="AA100" i="3" s="1"/>
  <c r="Y12" i="3"/>
  <c r="BD11" i="3" s="1"/>
  <c r="W12" i="3"/>
  <c r="AA12" i="3" s="1"/>
  <c r="V12" i="3"/>
  <c r="Z12" i="3" s="1"/>
  <c r="Y77" i="3"/>
  <c r="BD76" i="3" s="1"/>
  <c r="W77" i="3"/>
  <c r="AA77" i="3" s="1"/>
  <c r="V77" i="3"/>
  <c r="Z77" i="3" s="1"/>
  <c r="Y17" i="3"/>
  <c r="BD16" i="3" s="1"/>
  <c r="W17" i="3"/>
  <c r="AA17" i="3" s="1"/>
  <c r="V17" i="3"/>
  <c r="Z17" i="3" s="1"/>
  <c r="Y20" i="3"/>
  <c r="BD19" i="3" s="1"/>
  <c r="W20" i="3"/>
  <c r="AA20" i="3" s="1"/>
  <c r="V20" i="3"/>
  <c r="Z20" i="3" s="1"/>
  <c r="Y36" i="3"/>
  <c r="BD35" i="3" s="1"/>
  <c r="W36" i="3"/>
  <c r="AA36" i="3" s="1"/>
  <c r="V36" i="3"/>
  <c r="Z36" i="3" s="1"/>
  <c r="Y69" i="3"/>
  <c r="BD68" i="3" s="1"/>
  <c r="W69" i="3"/>
  <c r="AA69" i="3" s="1"/>
  <c r="V69" i="3"/>
  <c r="Z69" i="3" s="1"/>
  <c r="Y85" i="3"/>
  <c r="BD84" i="3" s="1"/>
  <c r="W85" i="3"/>
  <c r="AA85" i="3" s="1"/>
  <c r="V85" i="3"/>
  <c r="Z85" i="3" s="1"/>
  <c r="Y117" i="3"/>
  <c r="BD116" i="3" s="1"/>
  <c r="W117" i="3"/>
  <c r="AA117" i="3" s="1"/>
  <c r="V117" i="3"/>
  <c r="Z117" i="3" s="1"/>
  <c r="Y9" i="3"/>
  <c r="BD8" i="3" s="1"/>
  <c r="W9" i="3"/>
  <c r="AA9" i="3" s="1"/>
  <c r="V9" i="3"/>
  <c r="Z9" i="3" s="1"/>
  <c r="Y42" i="3"/>
  <c r="BD41" i="3" s="1"/>
  <c r="V42" i="3"/>
  <c r="Z42" i="3" s="1"/>
  <c r="W42" i="3"/>
  <c r="AA42" i="3" s="1"/>
  <c r="Y58" i="3"/>
  <c r="BD57" i="3" s="1"/>
  <c r="V58" i="3"/>
  <c r="Z58" i="3" s="1"/>
  <c r="W58" i="3"/>
  <c r="AA58" i="3" s="1"/>
  <c r="Y74" i="3"/>
  <c r="BD73" i="3" s="1"/>
  <c r="W74" i="3"/>
  <c r="AA74" i="3" s="1"/>
  <c r="V74" i="3"/>
  <c r="Z74" i="3" s="1"/>
  <c r="Y106" i="3"/>
  <c r="BD105" i="3" s="1"/>
  <c r="W106" i="3"/>
  <c r="AA106" i="3" s="1"/>
  <c r="V106" i="3"/>
  <c r="Z106" i="3" s="1"/>
  <c r="Y122" i="3"/>
  <c r="BD121" i="3" s="1"/>
  <c r="V122" i="3"/>
  <c r="Z122" i="3" s="1"/>
  <c r="W122" i="3"/>
  <c r="AA122" i="3" s="1"/>
  <c r="Y96" i="3"/>
  <c r="BD95" i="3" s="1"/>
  <c r="W96" i="3"/>
  <c r="AA96" i="3" s="1"/>
  <c r="V96" i="3"/>
  <c r="Z96" i="3" s="1"/>
  <c r="Y8" i="3"/>
  <c r="BD7" i="3" s="1"/>
  <c r="V8" i="3"/>
  <c r="Z8" i="3" s="1"/>
  <c r="W8" i="3"/>
  <c r="AA8" i="3" s="1"/>
  <c r="Y24" i="3"/>
  <c r="BD23" i="3" s="1"/>
  <c r="V24" i="3"/>
  <c r="Z24" i="3" s="1"/>
  <c r="W24" i="3"/>
  <c r="AA24" i="3" s="1"/>
  <c r="Y41" i="3"/>
  <c r="BD40" i="3" s="1"/>
  <c r="W41" i="3"/>
  <c r="AA41" i="3" s="1"/>
  <c r="V41" i="3"/>
  <c r="Z41" i="3" s="1"/>
  <c r="Y57" i="3"/>
  <c r="BD56" i="3" s="1"/>
  <c r="W57" i="3"/>
  <c r="AA57" i="3" s="1"/>
  <c r="V57" i="3"/>
  <c r="Z57" i="3" s="1"/>
  <c r="Y73" i="3"/>
  <c r="BD72" i="3" s="1"/>
  <c r="W73" i="3"/>
  <c r="AA73" i="3" s="1"/>
  <c r="V73" i="3"/>
  <c r="Z73" i="3" s="1"/>
  <c r="Y89" i="3"/>
  <c r="BD88" i="3" s="1"/>
  <c r="W89" i="3"/>
  <c r="AA89" i="3" s="1"/>
  <c r="V89" i="3"/>
  <c r="Z89" i="3" s="1"/>
  <c r="Y105" i="3"/>
  <c r="BD104" i="3" s="1"/>
  <c r="W105" i="3"/>
  <c r="AA105" i="3" s="1"/>
  <c r="V105" i="3"/>
  <c r="Z105" i="3" s="1"/>
  <c r="Y121" i="3"/>
  <c r="BD120" i="3" s="1"/>
  <c r="W121" i="3"/>
  <c r="AA121" i="3" s="1"/>
  <c r="V121" i="3"/>
  <c r="Z121" i="3" s="1"/>
  <c r="Y13" i="3"/>
  <c r="BD12" i="3" s="1"/>
  <c r="W13" i="3"/>
  <c r="AA13" i="3" s="1"/>
  <c r="V13" i="3"/>
  <c r="Z13" i="3" s="1"/>
  <c r="Y29" i="3"/>
  <c r="BD28" i="3" s="1"/>
  <c r="W29" i="3"/>
  <c r="AA29" i="3" s="1"/>
  <c r="V29" i="3"/>
  <c r="Z29" i="3" s="1"/>
  <c r="Y46" i="3"/>
  <c r="BD45" i="3" s="1"/>
  <c r="W46" i="3"/>
  <c r="AA46" i="3" s="1"/>
  <c r="V46" i="3"/>
  <c r="Z46" i="3" s="1"/>
  <c r="Y62" i="3"/>
  <c r="BD61" i="3" s="1"/>
  <c r="W62" i="3"/>
  <c r="AA62" i="3" s="1"/>
  <c r="V62" i="3"/>
  <c r="Z62" i="3" s="1"/>
  <c r="Y78" i="3"/>
  <c r="BD77" i="3" s="1"/>
  <c r="W78" i="3"/>
  <c r="AA78" i="3" s="1"/>
  <c r="V78" i="3"/>
  <c r="Z78" i="3" s="1"/>
  <c r="Y94" i="3"/>
  <c r="BD93" i="3" s="1"/>
  <c r="W94" i="3"/>
  <c r="AA94" i="3" s="1"/>
  <c r="V94" i="3"/>
  <c r="Z94" i="3" s="1"/>
  <c r="Y110" i="3"/>
  <c r="BD109" i="3" s="1"/>
  <c r="W110" i="3"/>
  <c r="AA110" i="3" s="1"/>
  <c r="V110" i="3"/>
  <c r="Z110" i="3" s="1"/>
  <c r="Y126" i="3"/>
  <c r="BD125" i="3" s="1"/>
  <c r="W126" i="3"/>
  <c r="AA126" i="3" s="1"/>
  <c r="V126" i="3"/>
  <c r="Z126" i="3" s="1"/>
  <c r="Y35" i="3"/>
  <c r="BD34" i="3" s="1"/>
  <c r="W35" i="3"/>
  <c r="AA35" i="3" s="1"/>
  <c r="V35" i="3"/>
  <c r="Z35" i="3" s="1"/>
  <c r="Y72" i="3"/>
  <c r="BD71" i="3" s="1"/>
  <c r="W72" i="3"/>
  <c r="AA72" i="3" s="1"/>
  <c r="V72" i="3"/>
  <c r="Z72" i="3" s="1"/>
  <c r="Y104" i="3"/>
  <c r="BD103" i="3" s="1"/>
  <c r="W104" i="3"/>
  <c r="AA104" i="3" s="1"/>
  <c r="V104" i="3"/>
  <c r="Z104" i="3" s="1"/>
  <c r="Y6" i="3"/>
  <c r="BD5" i="3" s="1"/>
  <c r="W6" i="3"/>
  <c r="AA6" i="3" s="1"/>
  <c r="V6" i="3"/>
  <c r="Z6" i="3" s="1"/>
  <c r="W22" i="3"/>
  <c r="AA22" i="3" s="1"/>
  <c r="Y22" i="3"/>
  <c r="BD21" i="3" s="1"/>
  <c r="V22" i="3"/>
  <c r="Z22" i="3" s="1"/>
  <c r="Y39" i="3"/>
  <c r="BD38" i="3" s="1"/>
  <c r="W39" i="3"/>
  <c r="AA39" i="3" s="1"/>
  <c r="V39" i="3"/>
  <c r="Z39" i="3" s="1"/>
  <c r="Y55" i="3"/>
  <c r="BD54" i="3" s="1"/>
  <c r="W55" i="3"/>
  <c r="AA55" i="3" s="1"/>
  <c r="V55" i="3"/>
  <c r="Z55" i="3" s="1"/>
  <c r="Y71" i="3"/>
  <c r="BD70" i="3" s="1"/>
  <c r="W71" i="3"/>
  <c r="AA71" i="3" s="1"/>
  <c r="V71" i="3"/>
  <c r="Z71" i="3" s="1"/>
  <c r="Y87" i="3"/>
  <c r="BD86" i="3" s="1"/>
  <c r="W87" i="3"/>
  <c r="AA87" i="3" s="1"/>
  <c r="V87" i="3"/>
  <c r="Z87" i="3" s="1"/>
  <c r="Y103" i="3"/>
  <c r="BD102" i="3" s="1"/>
  <c r="W103" i="3"/>
  <c r="AA103" i="3" s="1"/>
  <c r="V103" i="3"/>
  <c r="Z103" i="3" s="1"/>
  <c r="Y119" i="3"/>
  <c r="BD118" i="3" s="1"/>
  <c r="W119" i="3"/>
  <c r="AA119" i="3" s="1"/>
  <c r="V119" i="3"/>
  <c r="Z119" i="3" s="1"/>
  <c r="Y15" i="3"/>
  <c r="BD14" i="3" s="1"/>
  <c r="W15" i="3"/>
  <c r="AA15" i="3" s="1"/>
  <c r="V15" i="3"/>
  <c r="Z15" i="3" s="1"/>
  <c r="Y48" i="3"/>
  <c r="BD47" i="3" s="1"/>
  <c r="W48" i="3"/>
  <c r="AA48" i="3" s="1"/>
  <c r="V48" i="3"/>
  <c r="Z48" i="3" s="1"/>
  <c r="Y76" i="3"/>
  <c r="BD75" i="3" s="1"/>
  <c r="W76" i="3"/>
  <c r="AA76" i="3" s="1"/>
  <c r="V76" i="3"/>
  <c r="Z76" i="3" s="1"/>
  <c r="Y108" i="3"/>
  <c r="BD107" i="3" s="1"/>
  <c r="W108" i="3"/>
  <c r="AA108" i="3" s="1"/>
  <c r="V108" i="3"/>
  <c r="Z108" i="3" s="1"/>
  <c r="AB129" i="3"/>
  <c r="AC129" i="3" s="1"/>
  <c r="J1" i="3"/>
  <c r="BJ10" i="3" l="1"/>
  <c r="BJ14" i="3"/>
  <c r="BJ18" i="3"/>
  <c r="BJ22" i="3"/>
  <c r="BJ26" i="3"/>
  <c r="BJ30" i="3"/>
  <c r="BJ34" i="3"/>
  <c r="BJ38" i="3"/>
  <c r="BJ42" i="3"/>
  <c r="BJ46" i="3"/>
  <c r="BJ50" i="3"/>
  <c r="BJ54" i="3"/>
  <c r="BJ58" i="3"/>
  <c r="BJ62" i="3"/>
  <c r="BJ66" i="3"/>
  <c r="BJ70" i="3"/>
  <c r="BJ74" i="3"/>
  <c r="BJ78" i="3"/>
  <c r="BJ82" i="3"/>
  <c r="BJ7" i="3"/>
  <c r="BJ11" i="3"/>
  <c r="BJ15" i="3"/>
  <c r="BJ19" i="3"/>
  <c r="BJ23" i="3"/>
  <c r="BJ27" i="3"/>
  <c r="BJ31" i="3"/>
  <c r="BJ35" i="3"/>
  <c r="BJ39" i="3"/>
  <c r="BJ43" i="3"/>
  <c r="BJ47" i="3"/>
  <c r="BJ51" i="3"/>
  <c r="BJ55" i="3"/>
  <c r="BJ59" i="3"/>
  <c r="BJ63" i="3"/>
  <c r="BJ67" i="3"/>
  <c r="BJ71" i="3"/>
  <c r="BJ75" i="3"/>
  <c r="BJ79" i="3"/>
  <c r="BJ83" i="3"/>
  <c r="BJ8" i="3"/>
  <c r="BJ12" i="3"/>
  <c r="BJ16" i="3"/>
  <c r="BJ20" i="3"/>
  <c r="BJ24" i="3"/>
  <c r="BJ9" i="3"/>
  <c r="BJ13" i="3"/>
  <c r="BJ17" i="3"/>
  <c r="BJ21" i="3"/>
  <c r="BJ25" i="3"/>
  <c r="BJ33" i="3"/>
  <c r="BJ41" i="3"/>
  <c r="BJ49" i="3"/>
  <c r="BJ57" i="3"/>
  <c r="BJ65" i="3"/>
  <c r="BJ73" i="3"/>
  <c r="BJ81" i="3"/>
  <c r="BJ87" i="3"/>
  <c r="BJ91" i="3"/>
  <c r="BJ95" i="3"/>
  <c r="BJ99" i="3"/>
  <c r="BJ103" i="3"/>
  <c r="BI7" i="3"/>
  <c r="BI11" i="3"/>
  <c r="BI15" i="3"/>
  <c r="BI19" i="3"/>
  <c r="BI23" i="3"/>
  <c r="BI27" i="3"/>
  <c r="BI31" i="3"/>
  <c r="BI35" i="3"/>
  <c r="BI39" i="3"/>
  <c r="BI43" i="3"/>
  <c r="BI47" i="3"/>
  <c r="BI51" i="3"/>
  <c r="BI55" i="3"/>
  <c r="BI59" i="3"/>
  <c r="BI63" i="3"/>
  <c r="BI67" i="3"/>
  <c r="BI71" i="3"/>
  <c r="BI75" i="3"/>
  <c r="BI79" i="3"/>
  <c r="BI83" i="3"/>
  <c r="BI87" i="3"/>
  <c r="BI91" i="3"/>
  <c r="BI95" i="3"/>
  <c r="BI99" i="3"/>
  <c r="BI103" i="3"/>
  <c r="BH7" i="3"/>
  <c r="BH11" i="3"/>
  <c r="BH15" i="3"/>
  <c r="BH19" i="3"/>
  <c r="BH23" i="3"/>
  <c r="BH27" i="3"/>
  <c r="BH31" i="3"/>
  <c r="BH35" i="3"/>
  <c r="BH39" i="3"/>
  <c r="BH43" i="3"/>
  <c r="BH47" i="3"/>
  <c r="BH51" i="3"/>
  <c r="BH55" i="3"/>
  <c r="BH59" i="3"/>
  <c r="BH63" i="3"/>
  <c r="BH67" i="3"/>
  <c r="BH71" i="3"/>
  <c r="BH75" i="3"/>
  <c r="BH79" i="3"/>
  <c r="BH83" i="3"/>
  <c r="BH87" i="3"/>
  <c r="BH91" i="3"/>
  <c r="BH95" i="3"/>
  <c r="BH99" i="3"/>
  <c r="BH103" i="3"/>
  <c r="BJ28" i="3"/>
  <c r="BJ36" i="3"/>
  <c r="BJ44" i="3"/>
  <c r="BJ52" i="3"/>
  <c r="BJ60" i="3"/>
  <c r="BJ68" i="3"/>
  <c r="BJ76" i="3"/>
  <c r="BJ84" i="3"/>
  <c r="BJ88" i="3"/>
  <c r="BJ92" i="3"/>
  <c r="BJ96" i="3"/>
  <c r="BJ100" i="3"/>
  <c r="BJ104" i="3"/>
  <c r="BI8" i="3"/>
  <c r="BI12" i="3"/>
  <c r="BI16" i="3"/>
  <c r="BI20" i="3"/>
  <c r="BI24" i="3"/>
  <c r="BI28" i="3"/>
  <c r="BI32" i="3"/>
  <c r="BI36" i="3"/>
  <c r="BI40" i="3"/>
  <c r="BI44" i="3"/>
  <c r="BI48" i="3"/>
  <c r="BI52" i="3"/>
  <c r="BI56" i="3"/>
  <c r="BI60" i="3"/>
  <c r="BI64" i="3"/>
  <c r="BI68" i="3"/>
  <c r="BI72" i="3"/>
  <c r="BI76" i="3"/>
  <c r="BI80" i="3"/>
  <c r="BI84" i="3"/>
  <c r="BI88" i="3"/>
  <c r="BI92" i="3"/>
  <c r="BI96" i="3"/>
  <c r="BI100" i="3"/>
  <c r="BI104" i="3"/>
  <c r="BH8" i="3"/>
  <c r="BH12" i="3"/>
  <c r="BH16" i="3"/>
  <c r="BH20" i="3"/>
  <c r="BH24" i="3"/>
  <c r="BH28" i="3"/>
  <c r="BH32" i="3"/>
  <c r="BH36" i="3"/>
  <c r="BH40" i="3"/>
  <c r="BH44" i="3"/>
  <c r="BH48" i="3"/>
  <c r="BH52" i="3"/>
  <c r="BH56" i="3"/>
  <c r="BH60" i="3"/>
  <c r="BH64" i="3"/>
  <c r="BH68" i="3"/>
  <c r="BH72" i="3"/>
  <c r="BH76" i="3"/>
  <c r="BH80" i="3"/>
  <c r="BH84" i="3"/>
  <c r="BH88" i="3"/>
  <c r="BH92" i="3"/>
  <c r="BH96" i="3"/>
  <c r="BH100" i="3"/>
  <c r="BH104" i="3"/>
  <c r="BJ29" i="3"/>
  <c r="BJ37" i="3"/>
  <c r="BJ45" i="3"/>
  <c r="BJ53" i="3"/>
  <c r="BJ61" i="3"/>
  <c r="BJ69" i="3"/>
  <c r="BJ77" i="3"/>
  <c r="BJ85" i="3"/>
  <c r="BJ89" i="3"/>
  <c r="BJ93" i="3"/>
  <c r="BJ97" i="3"/>
  <c r="BJ101" i="3"/>
  <c r="BJ105" i="3"/>
  <c r="BI9" i="3"/>
  <c r="BI13" i="3"/>
  <c r="BI17" i="3"/>
  <c r="BI21" i="3"/>
  <c r="BI25" i="3"/>
  <c r="BI29" i="3"/>
  <c r="BI33" i="3"/>
  <c r="BI37" i="3"/>
  <c r="BI41" i="3"/>
  <c r="BI45" i="3"/>
  <c r="BI49" i="3"/>
  <c r="BI53" i="3"/>
  <c r="BI57" i="3"/>
  <c r="BI61" i="3"/>
  <c r="BI65" i="3"/>
  <c r="BI69" i="3"/>
  <c r="BI73" i="3"/>
  <c r="BI77" i="3"/>
  <c r="BI81" i="3"/>
  <c r="BI85" i="3"/>
  <c r="BI89" i="3"/>
  <c r="BI93" i="3"/>
  <c r="BI97" i="3"/>
  <c r="BI101" i="3"/>
  <c r="BI105" i="3"/>
  <c r="BH9" i="3"/>
  <c r="BH13" i="3"/>
  <c r="BH17" i="3"/>
  <c r="BH21" i="3"/>
  <c r="BH25" i="3"/>
  <c r="BH29" i="3"/>
  <c r="BH33" i="3"/>
  <c r="BH37" i="3"/>
  <c r="BH41" i="3"/>
  <c r="BH45" i="3"/>
  <c r="BH49" i="3"/>
  <c r="BH53" i="3"/>
  <c r="BH57" i="3"/>
  <c r="BH61" i="3"/>
  <c r="BH65" i="3"/>
  <c r="BH69" i="3"/>
  <c r="BH73" i="3"/>
  <c r="BH77" i="3"/>
  <c r="BH81" i="3"/>
  <c r="BH85" i="3"/>
  <c r="BH89" i="3"/>
  <c r="BH93" i="3"/>
  <c r="BH97" i="3"/>
  <c r="BH101" i="3"/>
  <c r="BH105" i="3"/>
  <c r="BJ32" i="3"/>
  <c r="BJ40" i="3"/>
  <c r="BJ48" i="3"/>
  <c r="BJ56" i="3"/>
  <c r="BJ64" i="3"/>
  <c r="BJ72" i="3"/>
  <c r="BJ80" i="3"/>
  <c r="BJ86" i="3"/>
  <c r="BJ90" i="3"/>
  <c r="BJ94" i="3"/>
  <c r="BJ98" i="3"/>
  <c r="BJ102" i="3"/>
  <c r="BJ6" i="3"/>
  <c r="BI10" i="3"/>
  <c r="BI14" i="3"/>
  <c r="BI18" i="3"/>
  <c r="BI22" i="3"/>
  <c r="BI26" i="3"/>
  <c r="BI30" i="3"/>
  <c r="BI34" i="3"/>
  <c r="BI38" i="3"/>
  <c r="BI42" i="3"/>
  <c r="BI46" i="3"/>
  <c r="BI50" i="3"/>
  <c r="BI54" i="3"/>
  <c r="BI58" i="3"/>
  <c r="BI62" i="3"/>
  <c r="BI66" i="3"/>
  <c r="BI70" i="3"/>
  <c r="BI74" i="3"/>
  <c r="BI78" i="3"/>
  <c r="BI82" i="3"/>
  <c r="BI86" i="3"/>
  <c r="BI90" i="3"/>
  <c r="BI94" i="3"/>
  <c r="BI98" i="3"/>
  <c r="BI102" i="3"/>
  <c r="BI6" i="3"/>
  <c r="BH10" i="3"/>
  <c r="BH14" i="3"/>
  <c r="BH18" i="3"/>
  <c r="BH22" i="3"/>
  <c r="BH26" i="3"/>
  <c r="BH30" i="3"/>
  <c r="BH34" i="3"/>
  <c r="BH38" i="3"/>
  <c r="BH42" i="3"/>
  <c r="BH46" i="3"/>
  <c r="BH50" i="3"/>
  <c r="BH54" i="3"/>
  <c r="BH58" i="3"/>
  <c r="BH62" i="3"/>
  <c r="BH66" i="3"/>
  <c r="BH70" i="3"/>
  <c r="BH74" i="3"/>
  <c r="BH78" i="3"/>
  <c r="BH82" i="3"/>
  <c r="BH86" i="3"/>
  <c r="BH90" i="3"/>
  <c r="BH94" i="3"/>
  <c r="BH98" i="3"/>
  <c r="BH102" i="3"/>
  <c r="BF3" i="3"/>
  <c r="BK3" i="3" s="1"/>
  <c r="AB15" i="3"/>
  <c r="AC15" i="3" s="1"/>
  <c r="AB6" i="3"/>
  <c r="AC6" i="3" s="1"/>
  <c r="AB62" i="3"/>
  <c r="AC62" i="3" s="1"/>
  <c r="AB57" i="3"/>
  <c r="AC57" i="3" s="1"/>
  <c r="AB96" i="3"/>
  <c r="AC96" i="3" s="1"/>
  <c r="AB68" i="3"/>
  <c r="AC68" i="3" s="1"/>
  <c r="AB87" i="3"/>
  <c r="AC87" i="3" s="1"/>
  <c r="T8" i="3"/>
  <c r="T10" i="3" s="1"/>
  <c r="AB35" i="3"/>
  <c r="AC35" i="3" s="1"/>
  <c r="AB78" i="3"/>
  <c r="AC78" i="3" s="1"/>
  <c r="AB13" i="3"/>
  <c r="AC13" i="3" s="1"/>
  <c r="AB73" i="3"/>
  <c r="AC73" i="3" s="1"/>
  <c r="AB74" i="3"/>
  <c r="AC74" i="3" s="1"/>
  <c r="AB117" i="3"/>
  <c r="AC117" i="3" s="1"/>
  <c r="AB20" i="3"/>
  <c r="AC20" i="3" s="1"/>
  <c r="AB115" i="3"/>
  <c r="AC115" i="3" s="1"/>
  <c r="AB51" i="3"/>
  <c r="AC51" i="3" s="1"/>
  <c r="AB64" i="3"/>
  <c r="AC64" i="3" s="1"/>
  <c r="AB101" i="3"/>
  <c r="AC101" i="3" s="1"/>
  <c r="AB124" i="3"/>
  <c r="AC124" i="3" s="1"/>
  <c r="AB127" i="3"/>
  <c r="AC127" i="3" s="1"/>
  <c r="AB63" i="3"/>
  <c r="AC63" i="3" s="1"/>
  <c r="AB120" i="3"/>
  <c r="AC120" i="3" s="1"/>
  <c r="AB118" i="3"/>
  <c r="AC118" i="3" s="1"/>
  <c r="AB54" i="3"/>
  <c r="AC54" i="3" s="1"/>
  <c r="AB113" i="3"/>
  <c r="AC113" i="3" s="1"/>
  <c r="AB56" i="3"/>
  <c r="AC56" i="3" s="1"/>
  <c r="AB91" i="3"/>
  <c r="AC91" i="3" s="1"/>
  <c r="AB80" i="3"/>
  <c r="AC80" i="3" s="1"/>
  <c r="AB75" i="3"/>
  <c r="AC75" i="3" s="1"/>
  <c r="AB114" i="3"/>
  <c r="AC114" i="3" s="1"/>
  <c r="AB71" i="3"/>
  <c r="AC71" i="3" s="1"/>
  <c r="AB126" i="3"/>
  <c r="AC126" i="3" s="1"/>
  <c r="AB85" i="3"/>
  <c r="AC85" i="3" s="1"/>
  <c r="AB48" i="3"/>
  <c r="AC48" i="3" s="1"/>
  <c r="AB67" i="3"/>
  <c r="AC67" i="3" s="1"/>
  <c r="AB128" i="3"/>
  <c r="AC128" i="3" s="1"/>
  <c r="AB28" i="3"/>
  <c r="AC28" i="3" s="1"/>
  <c r="AB31" i="3"/>
  <c r="AC31" i="3" s="1"/>
  <c r="AB19" i="3"/>
  <c r="AC19" i="3" s="1"/>
  <c r="AB70" i="3"/>
  <c r="AC70" i="3" s="1"/>
  <c r="AB38" i="3"/>
  <c r="AC38" i="3" s="1"/>
  <c r="AB107" i="3"/>
  <c r="AC107" i="3" s="1"/>
  <c r="AB66" i="3"/>
  <c r="AC66" i="3" s="1"/>
  <c r="AB44" i="3"/>
  <c r="AC44" i="3" s="1"/>
  <c r="AM8" i="3"/>
  <c r="AM64" i="3"/>
  <c r="AK13" i="3"/>
  <c r="AK45" i="3"/>
  <c r="AK77" i="3"/>
  <c r="AL10" i="3"/>
  <c r="AL42" i="3"/>
  <c r="AL74" i="3"/>
  <c r="AM16" i="3"/>
  <c r="AM80" i="3"/>
  <c r="AK21" i="3"/>
  <c r="AK53" i="3"/>
  <c r="AK85" i="3"/>
  <c r="AL18" i="3"/>
  <c r="AL50" i="3"/>
  <c r="AL82" i="3"/>
  <c r="AM48" i="3"/>
  <c r="AK69" i="3"/>
  <c r="AL34" i="3"/>
  <c r="AL98" i="3"/>
  <c r="AM94" i="3"/>
  <c r="AK29" i="3"/>
  <c r="AK93" i="3"/>
  <c r="AL58" i="3"/>
  <c r="AK37" i="3"/>
  <c r="AL66" i="3"/>
  <c r="AL26" i="3"/>
  <c r="AM32" i="3"/>
  <c r="AK61" i="3"/>
  <c r="AL90" i="3"/>
  <c r="AM5" i="3"/>
  <c r="AK101" i="3"/>
  <c r="AL87" i="3"/>
  <c r="AL55" i="3"/>
  <c r="AL23" i="3"/>
  <c r="AK90" i="3"/>
  <c r="AK58" i="3"/>
  <c r="AK26" i="3"/>
  <c r="AM89" i="3"/>
  <c r="AM25" i="3"/>
  <c r="AL86" i="3"/>
  <c r="AL54" i="3"/>
  <c r="AL22" i="3"/>
  <c r="AK89" i="3"/>
  <c r="AK57" i="3"/>
  <c r="AK25" i="3"/>
  <c r="AM88" i="3"/>
  <c r="AM24" i="3"/>
  <c r="AM18" i="3"/>
  <c r="AM34" i="3"/>
  <c r="AM50" i="3"/>
  <c r="AM66" i="3"/>
  <c r="AM82" i="3"/>
  <c r="AM11" i="3"/>
  <c r="AM27" i="3"/>
  <c r="AM43" i="3"/>
  <c r="AM59" i="3"/>
  <c r="AM75" i="3"/>
  <c r="AM91" i="3"/>
  <c r="AM36" i="3"/>
  <c r="AM68" i="3"/>
  <c r="AM97" i="3"/>
  <c r="AK15" i="3"/>
  <c r="AK31" i="3"/>
  <c r="AK47" i="3"/>
  <c r="AK63" i="3"/>
  <c r="AK79" i="3"/>
  <c r="AK95" i="3"/>
  <c r="AL12" i="3"/>
  <c r="AL28" i="3"/>
  <c r="AL44" i="3"/>
  <c r="AL60" i="3"/>
  <c r="AL76" i="3"/>
  <c r="AL92" i="3"/>
  <c r="AK5" i="3"/>
  <c r="AS5" i="3" s="1"/>
  <c r="AM37" i="3"/>
  <c r="AM69" i="3"/>
  <c r="AM98" i="3"/>
  <c r="AK16" i="3"/>
  <c r="AK32" i="3"/>
  <c r="AK48" i="3"/>
  <c r="AK64" i="3"/>
  <c r="AK80" i="3"/>
  <c r="AK96" i="3"/>
  <c r="AL13" i="3"/>
  <c r="AL29" i="3"/>
  <c r="AL45" i="3"/>
  <c r="AL61" i="3"/>
  <c r="AL77" i="3"/>
  <c r="AL93" i="3"/>
  <c r="AL83" i="3"/>
  <c r="AL51" i="3"/>
  <c r="AL19" i="3"/>
  <c r="AK86" i="3"/>
  <c r="AK54" i="3"/>
  <c r="AK22" i="3"/>
  <c r="AM96" i="3"/>
  <c r="AM33" i="3"/>
  <c r="AL79" i="3"/>
  <c r="AL47" i="3"/>
  <c r="AL15" i="3"/>
  <c r="AK82" i="3"/>
  <c r="AK50" i="3"/>
  <c r="AK18" i="3"/>
  <c r="AM73" i="3"/>
  <c r="AM9" i="3"/>
  <c r="AL78" i="3"/>
  <c r="AL46" i="3"/>
  <c r="AL14" i="3"/>
  <c r="AK81" i="3"/>
  <c r="AK49" i="3"/>
  <c r="AK17" i="3"/>
  <c r="AM72" i="3"/>
  <c r="AM6" i="3"/>
  <c r="AM22" i="3"/>
  <c r="AM38" i="3"/>
  <c r="AM54" i="3"/>
  <c r="AM70" i="3"/>
  <c r="AM86" i="3"/>
  <c r="AM15" i="3"/>
  <c r="AM31" i="3"/>
  <c r="AM47" i="3"/>
  <c r="AM63" i="3"/>
  <c r="AM79" i="3"/>
  <c r="AM95" i="3"/>
  <c r="AM12" i="3"/>
  <c r="AM44" i="3"/>
  <c r="AM76" i="3"/>
  <c r="AM102" i="3"/>
  <c r="AK19" i="3"/>
  <c r="AK35" i="3"/>
  <c r="AK51" i="3"/>
  <c r="AK67" i="3"/>
  <c r="AK83" i="3"/>
  <c r="AK99" i="3"/>
  <c r="AL16" i="3"/>
  <c r="AL32" i="3"/>
  <c r="AL48" i="3"/>
  <c r="AL64" i="3"/>
  <c r="AL80" i="3"/>
  <c r="AL96" i="3"/>
  <c r="AM13" i="3"/>
  <c r="AM45" i="3"/>
  <c r="AM77" i="3"/>
  <c r="AM104" i="3"/>
  <c r="AK20" i="3"/>
  <c r="AK36" i="3"/>
  <c r="AK52" i="3"/>
  <c r="AK68" i="3"/>
  <c r="AK84" i="3"/>
  <c r="AK100" i="3"/>
  <c r="AL17" i="3"/>
  <c r="AL33" i="3"/>
  <c r="AL49" i="3"/>
  <c r="AL65" i="3"/>
  <c r="AL81" i="3"/>
  <c r="AL97" i="3"/>
  <c r="AL75" i="3"/>
  <c r="AL43" i="3"/>
  <c r="AL11" i="3"/>
  <c r="AK78" i="3"/>
  <c r="AK46" i="3"/>
  <c r="AK14" i="3"/>
  <c r="AM81" i="3"/>
  <c r="AM17" i="3"/>
  <c r="AL103" i="3"/>
  <c r="AL71" i="3"/>
  <c r="AL39" i="3"/>
  <c r="AL7" i="3"/>
  <c r="AK74" i="3"/>
  <c r="AK42" i="3"/>
  <c r="AK10" i="3"/>
  <c r="AM57" i="3"/>
  <c r="AL102" i="3"/>
  <c r="AL70" i="3"/>
  <c r="AL38" i="3"/>
  <c r="AL6" i="3"/>
  <c r="AK73" i="3"/>
  <c r="AK41" i="3"/>
  <c r="AK9" i="3"/>
  <c r="AM56" i="3"/>
  <c r="AM10" i="3"/>
  <c r="AM26" i="3"/>
  <c r="AM42" i="3"/>
  <c r="AM58" i="3"/>
  <c r="AM74" i="3"/>
  <c r="AM90" i="3"/>
  <c r="AM19" i="3"/>
  <c r="AM35" i="3"/>
  <c r="AM51" i="3"/>
  <c r="AM67" i="3"/>
  <c r="AM83" i="3"/>
  <c r="AM99" i="3"/>
  <c r="AM20" i="3"/>
  <c r="AM52" i="3"/>
  <c r="AM84" i="3"/>
  <c r="AK7" i="3"/>
  <c r="AK23" i="3"/>
  <c r="AK39" i="3"/>
  <c r="AK55" i="3"/>
  <c r="AK71" i="3"/>
  <c r="AK87" i="3"/>
  <c r="AK103" i="3"/>
  <c r="AL20" i="3"/>
  <c r="AL36" i="3"/>
  <c r="AL52" i="3"/>
  <c r="AL68" i="3"/>
  <c r="AL84" i="3"/>
  <c r="AL100" i="3"/>
  <c r="AM21" i="3"/>
  <c r="AM53" i="3"/>
  <c r="AM85" i="3"/>
  <c r="AK8" i="3"/>
  <c r="AK24" i="3"/>
  <c r="AK40" i="3"/>
  <c r="AK56" i="3"/>
  <c r="AK72" i="3"/>
  <c r="AK88" i="3"/>
  <c r="AK104" i="3"/>
  <c r="AL21" i="3"/>
  <c r="AL37" i="3"/>
  <c r="AL53" i="3"/>
  <c r="AL69" i="3"/>
  <c r="AL85" i="3"/>
  <c r="AL101" i="3"/>
  <c r="AL99" i="3"/>
  <c r="AL67" i="3"/>
  <c r="AL35" i="3"/>
  <c r="AK102" i="3"/>
  <c r="AK70" i="3"/>
  <c r="AK38" i="3"/>
  <c r="AK6" i="3"/>
  <c r="AM65" i="3"/>
  <c r="AL95" i="3"/>
  <c r="AL63" i="3"/>
  <c r="AL31" i="3"/>
  <c r="AK98" i="3"/>
  <c r="AK66" i="3"/>
  <c r="AK34" i="3"/>
  <c r="AM101" i="3"/>
  <c r="AM41" i="3"/>
  <c r="AL94" i="3"/>
  <c r="AL62" i="3"/>
  <c r="AL30" i="3"/>
  <c r="AK97" i="3"/>
  <c r="AK65" i="3"/>
  <c r="AK33" i="3"/>
  <c r="AM100" i="3"/>
  <c r="AM40" i="3"/>
  <c r="AM14" i="3"/>
  <c r="AM30" i="3"/>
  <c r="AM46" i="3"/>
  <c r="AM62" i="3"/>
  <c r="AM78" i="3"/>
  <c r="AM7" i="3"/>
  <c r="AM23" i="3"/>
  <c r="AM39" i="3"/>
  <c r="AM55" i="3"/>
  <c r="AM71" i="3"/>
  <c r="AM87" i="3"/>
  <c r="AM103" i="3"/>
  <c r="AM28" i="3"/>
  <c r="AM60" i="3"/>
  <c r="AM92" i="3"/>
  <c r="AK11" i="3"/>
  <c r="AK75" i="3"/>
  <c r="AL40" i="3"/>
  <c r="AL104" i="3"/>
  <c r="AK12" i="3"/>
  <c r="AK76" i="3"/>
  <c r="AL41" i="3"/>
  <c r="AL5" i="3"/>
  <c r="AL27" i="3"/>
  <c r="AK27" i="3"/>
  <c r="AK91" i="3"/>
  <c r="AL56" i="3"/>
  <c r="AM29" i="3"/>
  <c r="AK28" i="3"/>
  <c r="AK92" i="3"/>
  <c r="AL57" i="3"/>
  <c r="AK94" i="3"/>
  <c r="AK43" i="3"/>
  <c r="AL8" i="3"/>
  <c r="AL72" i="3"/>
  <c r="AM61" i="3"/>
  <c r="AK44" i="3"/>
  <c r="AL9" i="3"/>
  <c r="AL73" i="3"/>
  <c r="AL91" i="3"/>
  <c r="AK62" i="3"/>
  <c r="AK59" i="3"/>
  <c r="AL24" i="3"/>
  <c r="AL88" i="3"/>
  <c r="AM93" i="3"/>
  <c r="AK60" i="3"/>
  <c r="AL25" i="3"/>
  <c r="AL89" i="3"/>
  <c r="AL59" i="3"/>
  <c r="AK30" i="3"/>
  <c r="AM49" i="3"/>
  <c r="J3" i="3"/>
  <c r="AB121" i="3"/>
  <c r="AC121" i="3" s="1"/>
  <c r="AB99" i="3"/>
  <c r="AC99" i="3" s="1"/>
  <c r="AB34" i="3"/>
  <c r="AC34" i="3" s="1"/>
  <c r="AB27" i="3"/>
  <c r="AC27" i="3" s="1"/>
  <c r="AB53" i="3"/>
  <c r="AC53" i="3" s="1"/>
  <c r="AB92" i="3"/>
  <c r="AC92" i="3" s="1"/>
  <c r="AB88" i="3"/>
  <c r="AC88" i="3" s="1"/>
  <c r="AB102" i="3"/>
  <c r="AC102" i="3" s="1"/>
  <c r="AB37" i="3"/>
  <c r="AC37" i="3" s="1"/>
  <c r="AB97" i="3"/>
  <c r="AC97" i="3" s="1"/>
  <c r="AB32" i="3"/>
  <c r="AC32" i="3" s="1"/>
  <c r="AB23" i="3"/>
  <c r="AC23" i="3" s="1"/>
  <c r="AB59" i="3"/>
  <c r="AC59" i="3" s="1"/>
  <c r="AB72" i="3"/>
  <c r="AC72" i="3" s="1"/>
  <c r="AB94" i="3"/>
  <c r="AC94" i="3" s="1"/>
  <c r="AB29" i="3"/>
  <c r="AC29" i="3" s="1"/>
  <c r="AB89" i="3"/>
  <c r="AC89" i="3" s="1"/>
  <c r="AB106" i="3"/>
  <c r="AC106" i="3" s="1"/>
  <c r="AB36" i="3"/>
  <c r="AC36" i="3" s="1"/>
  <c r="AB12" i="3"/>
  <c r="AC12" i="3" s="1"/>
  <c r="AB119" i="3"/>
  <c r="AC119" i="3" s="1"/>
  <c r="AB55" i="3"/>
  <c r="AC55" i="3" s="1"/>
  <c r="AB104" i="3"/>
  <c r="AC104" i="3" s="1"/>
  <c r="AB110" i="3"/>
  <c r="AC110" i="3" s="1"/>
  <c r="AB46" i="3"/>
  <c r="AC46" i="3" s="1"/>
  <c r="AB105" i="3"/>
  <c r="AC105" i="3" s="1"/>
  <c r="AB41" i="3"/>
  <c r="AC41" i="3" s="1"/>
  <c r="AB69" i="3"/>
  <c r="AC69" i="3" s="1"/>
  <c r="AB77" i="3"/>
  <c r="AC77" i="3" s="1"/>
  <c r="AB40" i="3"/>
  <c r="AC40" i="3" s="1"/>
  <c r="AB83" i="3"/>
  <c r="AC83" i="3" s="1"/>
  <c r="AB90" i="3"/>
  <c r="AC90" i="3" s="1"/>
  <c r="AB125" i="3"/>
  <c r="AC125" i="3" s="1"/>
  <c r="AB60" i="3"/>
  <c r="AC60" i="3" s="1"/>
  <c r="AB95" i="3"/>
  <c r="AC95" i="3" s="1"/>
  <c r="AB52" i="3"/>
  <c r="AC52" i="3" s="1"/>
  <c r="AB86" i="3"/>
  <c r="AC86" i="3" s="1"/>
  <c r="AB21" i="3"/>
  <c r="AC21" i="3" s="1"/>
  <c r="AB81" i="3"/>
  <c r="AC81" i="3" s="1"/>
  <c r="AB123" i="3"/>
  <c r="AC123" i="3" s="1"/>
  <c r="AB98" i="3"/>
  <c r="AC98" i="3" s="1"/>
  <c r="AB61" i="3"/>
  <c r="AC61" i="3" s="1"/>
  <c r="AB112" i="3"/>
  <c r="AC112" i="3" s="1"/>
  <c r="AB50" i="3"/>
  <c r="AC50" i="3" s="1"/>
  <c r="AB103" i="3"/>
  <c r="AC103" i="3" s="1"/>
  <c r="AB39" i="3"/>
  <c r="AC39" i="3" s="1"/>
  <c r="AB7" i="3"/>
  <c r="AC7" i="3" s="1"/>
  <c r="AB11" i="3"/>
  <c r="AC11" i="3" s="1"/>
  <c r="AB109" i="3"/>
  <c r="AC109" i="3" s="1"/>
  <c r="AB82" i="3"/>
  <c r="AC82" i="3" s="1"/>
  <c r="AB24" i="3"/>
  <c r="AC24" i="3" s="1"/>
  <c r="AB8" i="3"/>
  <c r="AC8" i="3" s="1"/>
  <c r="AB122" i="3"/>
  <c r="AC122" i="3" s="1"/>
  <c r="AB58" i="3"/>
  <c r="AC58" i="3" s="1"/>
  <c r="AB42" i="3"/>
  <c r="AC42" i="3" s="1"/>
  <c r="AB100" i="3"/>
  <c r="AC100" i="3" s="1"/>
  <c r="AB79" i="3"/>
  <c r="AC79" i="3" s="1"/>
  <c r="AB16" i="3"/>
  <c r="AC16" i="3" s="1"/>
  <c r="AB43" i="3"/>
  <c r="AC43" i="3" s="1"/>
  <c r="AB93" i="3"/>
  <c r="AC93" i="3" s="1"/>
  <c r="AB45" i="3"/>
  <c r="AC45" i="3" s="1"/>
  <c r="AB9" i="3"/>
  <c r="AC9" i="3" s="1"/>
  <c r="AB17" i="3"/>
  <c r="AC17" i="3" s="1"/>
  <c r="AB18" i="3"/>
  <c r="AC18" i="3" s="1"/>
  <c r="AB25" i="3"/>
  <c r="AC25" i="3" s="1"/>
  <c r="AB111" i="3"/>
  <c r="AC111" i="3" s="1"/>
  <c r="AB47" i="3"/>
  <c r="AC47" i="3" s="1"/>
  <c r="AB30" i="3"/>
  <c r="AC30" i="3" s="1"/>
  <c r="AB14" i="3"/>
  <c r="AC14" i="3" s="1"/>
  <c r="AB65" i="3"/>
  <c r="AC65" i="3" s="1"/>
  <c r="AB49" i="3"/>
  <c r="AC49" i="3" s="1"/>
  <c r="AB84" i="3"/>
  <c r="AC84" i="3" s="1"/>
  <c r="AB10" i="3"/>
  <c r="AC10" i="3" s="1"/>
  <c r="AB33" i="3"/>
  <c r="AC33" i="3" s="1"/>
  <c r="AB116" i="3"/>
  <c r="AC116" i="3" s="1"/>
  <c r="AB26" i="3"/>
  <c r="AC26" i="3" s="1"/>
  <c r="AB108" i="3"/>
  <c r="AC108" i="3" s="1"/>
  <c r="AB76" i="3"/>
  <c r="AC76" i="3" s="1"/>
  <c r="AB22" i="3"/>
  <c r="AC22" i="3" s="1"/>
  <c r="BT9" i="3" l="1"/>
  <c r="BT7" i="3"/>
  <c r="BX7" i="3" s="1"/>
  <c r="BT11" i="3"/>
  <c r="BX11" i="3" s="1"/>
  <c r="BT15" i="3"/>
  <c r="BX15" i="3" s="1"/>
  <c r="BT19" i="3"/>
  <c r="BX19" i="3" s="1"/>
  <c r="BT23" i="3"/>
  <c r="BX23" i="3" s="1"/>
  <c r="BT27" i="3"/>
  <c r="BX27" i="3" s="1"/>
  <c r="BT31" i="3"/>
  <c r="BX31" i="3" s="1"/>
  <c r="BT35" i="3"/>
  <c r="BX35" i="3" s="1"/>
  <c r="BT39" i="3"/>
  <c r="BX39" i="3" s="1"/>
  <c r="BT43" i="3"/>
  <c r="BX43" i="3" s="1"/>
  <c r="BT8" i="3"/>
  <c r="BX8" i="3" s="1"/>
  <c r="BT12" i="3"/>
  <c r="BT16" i="3"/>
  <c r="BX16" i="3" s="1"/>
  <c r="BT20" i="3"/>
  <c r="BX20" i="3" s="1"/>
  <c r="BT24" i="3"/>
  <c r="BX24" i="3" s="1"/>
  <c r="BT28" i="3"/>
  <c r="BX28" i="3" s="1"/>
  <c r="BT32" i="3"/>
  <c r="BX32" i="3" s="1"/>
  <c r="BT36" i="3"/>
  <c r="BT40" i="3"/>
  <c r="BX40" i="3" s="1"/>
  <c r="BT44" i="3"/>
  <c r="BX44" i="3" s="1"/>
  <c r="BT14" i="3"/>
  <c r="BX14" i="3" s="1"/>
  <c r="BT22" i="3"/>
  <c r="BX22" i="3" s="1"/>
  <c r="BT30" i="3"/>
  <c r="BX30" i="3" s="1"/>
  <c r="BT38" i="3"/>
  <c r="BX38" i="3" s="1"/>
  <c r="BT46" i="3"/>
  <c r="BX46" i="3" s="1"/>
  <c r="BT50" i="3"/>
  <c r="BX50" i="3" s="1"/>
  <c r="BT54" i="3"/>
  <c r="BX54" i="3" s="1"/>
  <c r="BT58" i="3"/>
  <c r="BT62" i="3"/>
  <c r="BX62" i="3" s="1"/>
  <c r="BT66" i="3"/>
  <c r="BX66" i="3" s="1"/>
  <c r="BT70" i="3"/>
  <c r="BX70" i="3" s="1"/>
  <c r="BT74" i="3"/>
  <c r="BT78" i="3"/>
  <c r="BX78" i="3" s="1"/>
  <c r="BT82" i="3"/>
  <c r="BX82" i="3" s="1"/>
  <c r="BT86" i="3"/>
  <c r="BT90" i="3"/>
  <c r="BX90" i="3" s="1"/>
  <c r="BT94" i="3"/>
  <c r="BX94" i="3" s="1"/>
  <c r="BT98" i="3"/>
  <c r="BX98" i="3" s="1"/>
  <c r="BT102" i="3"/>
  <c r="BT6" i="3"/>
  <c r="BX6" i="3" s="1"/>
  <c r="BS10" i="3"/>
  <c r="BW10" i="3" s="1"/>
  <c r="BS14" i="3"/>
  <c r="BW14" i="3" s="1"/>
  <c r="BS18" i="3"/>
  <c r="BS22" i="3"/>
  <c r="BW22" i="3" s="1"/>
  <c r="BS26" i="3"/>
  <c r="BW26" i="3" s="1"/>
  <c r="BS30" i="3"/>
  <c r="BW30" i="3" s="1"/>
  <c r="BS34" i="3"/>
  <c r="BS38" i="3"/>
  <c r="BW38" i="3" s="1"/>
  <c r="BS42" i="3"/>
  <c r="BW42" i="3" s="1"/>
  <c r="BS46" i="3"/>
  <c r="BW46" i="3" s="1"/>
  <c r="BS50" i="3"/>
  <c r="BS54" i="3"/>
  <c r="BW54" i="3" s="1"/>
  <c r="BS58" i="3"/>
  <c r="BW58" i="3" s="1"/>
  <c r="BS62" i="3"/>
  <c r="BW62" i="3" s="1"/>
  <c r="BS66" i="3"/>
  <c r="BS70" i="3"/>
  <c r="BW70" i="3" s="1"/>
  <c r="BS74" i="3"/>
  <c r="BW74" i="3" s="1"/>
  <c r="BS78" i="3"/>
  <c r="BW78" i="3" s="1"/>
  <c r="BS82" i="3"/>
  <c r="BS86" i="3"/>
  <c r="BW86" i="3" s="1"/>
  <c r="BS90" i="3"/>
  <c r="BW90" i="3" s="1"/>
  <c r="BS94" i="3"/>
  <c r="BW94" i="3" s="1"/>
  <c r="BS98" i="3"/>
  <c r="BS102" i="3"/>
  <c r="BW102" i="3" s="1"/>
  <c r="BS6" i="3"/>
  <c r="BW6" i="3" s="1"/>
  <c r="BR10" i="3"/>
  <c r="BV10" i="3" s="1"/>
  <c r="BR14" i="3"/>
  <c r="BR18" i="3"/>
  <c r="BV18" i="3" s="1"/>
  <c r="BR22" i="3"/>
  <c r="BV22" i="3" s="1"/>
  <c r="BR26" i="3"/>
  <c r="BV26" i="3" s="1"/>
  <c r="BR30" i="3"/>
  <c r="BR34" i="3"/>
  <c r="BV34" i="3" s="1"/>
  <c r="BR38" i="3"/>
  <c r="BV38" i="3" s="1"/>
  <c r="BR42" i="3"/>
  <c r="BV42" i="3" s="1"/>
  <c r="BR46" i="3"/>
  <c r="BR50" i="3"/>
  <c r="BV50" i="3" s="1"/>
  <c r="BR54" i="3"/>
  <c r="BV54" i="3" s="1"/>
  <c r="BR58" i="3"/>
  <c r="BV58" i="3" s="1"/>
  <c r="BR62" i="3"/>
  <c r="BR66" i="3"/>
  <c r="BV66" i="3" s="1"/>
  <c r="BR70" i="3"/>
  <c r="BV70" i="3" s="1"/>
  <c r="BR74" i="3"/>
  <c r="BV74" i="3" s="1"/>
  <c r="BR78" i="3"/>
  <c r="BR82" i="3"/>
  <c r="BV82" i="3" s="1"/>
  <c r="BR86" i="3"/>
  <c r="BV86" i="3" s="1"/>
  <c r="BR90" i="3"/>
  <c r="BV90" i="3" s="1"/>
  <c r="BR94" i="3"/>
  <c r="BR98" i="3"/>
  <c r="BV98" i="3" s="1"/>
  <c r="BR102" i="3"/>
  <c r="BV102" i="3" s="1"/>
  <c r="BR6" i="3"/>
  <c r="BV6" i="3" s="1"/>
  <c r="BT17" i="3"/>
  <c r="BX17" i="3" s="1"/>
  <c r="BT25" i="3"/>
  <c r="BT33" i="3"/>
  <c r="BX33" i="3" s="1"/>
  <c r="BT41" i="3"/>
  <c r="BX41" i="3" s="1"/>
  <c r="BT47" i="3"/>
  <c r="BX47" i="3" s="1"/>
  <c r="BT51" i="3"/>
  <c r="BX51" i="3" s="1"/>
  <c r="BT55" i="3"/>
  <c r="BX55" i="3" s="1"/>
  <c r="BT59" i="3"/>
  <c r="BT63" i="3"/>
  <c r="BX63" i="3" s="1"/>
  <c r="BT67" i="3"/>
  <c r="BX67" i="3" s="1"/>
  <c r="BT71" i="3"/>
  <c r="BX71" i="3" s="1"/>
  <c r="BT75" i="3"/>
  <c r="BX75" i="3" s="1"/>
  <c r="BT79" i="3"/>
  <c r="BX79" i="3" s="1"/>
  <c r="BT83" i="3"/>
  <c r="BX83" i="3" s="1"/>
  <c r="BT87" i="3"/>
  <c r="BT91" i="3"/>
  <c r="BX91" i="3" s="1"/>
  <c r="BT95" i="3"/>
  <c r="BX95" i="3" s="1"/>
  <c r="BT99" i="3"/>
  <c r="BX99" i="3" s="1"/>
  <c r="BT103" i="3"/>
  <c r="BS7" i="3"/>
  <c r="BW7" i="3" s="1"/>
  <c r="BS11" i="3"/>
  <c r="BW11" i="3" s="1"/>
  <c r="BS15" i="3"/>
  <c r="BW15" i="3" s="1"/>
  <c r="BS19" i="3"/>
  <c r="BS23" i="3"/>
  <c r="BW23" i="3" s="1"/>
  <c r="BS27" i="3"/>
  <c r="BW27" i="3" s="1"/>
  <c r="BS31" i="3"/>
  <c r="BW31" i="3" s="1"/>
  <c r="BS35" i="3"/>
  <c r="BS39" i="3"/>
  <c r="BW39" i="3" s="1"/>
  <c r="BS43" i="3"/>
  <c r="BW43" i="3" s="1"/>
  <c r="BS47" i="3"/>
  <c r="BW47" i="3" s="1"/>
  <c r="BS51" i="3"/>
  <c r="BS55" i="3"/>
  <c r="BW55" i="3" s="1"/>
  <c r="BS59" i="3"/>
  <c r="BW59" i="3" s="1"/>
  <c r="BS63" i="3"/>
  <c r="BW63" i="3" s="1"/>
  <c r="BS67" i="3"/>
  <c r="BS71" i="3"/>
  <c r="BW71" i="3" s="1"/>
  <c r="BS75" i="3"/>
  <c r="BW75" i="3" s="1"/>
  <c r="BS79" i="3"/>
  <c r="BW79" i="3" s="1"/>
  <c r="BS83" i="3"/>
  <c r="BS87" i="3"/>
  <c r="BW87" i="3" s="1"/>
  <c r="BS91" i="3"/>
  <c r="BW91" i="3" s="1"/>
  <c r="BS95" i="3"/>
  <c r="BW95" i="3" s="1"/>
  <c r="BS99" i="3"/>
  <c r="BS103" i="3"/>
  <c r="BW103" i="3" s="1"/>
  <c r="BR7" i="3"/>
  <c r="BV7" i="3" s="1"/>
  <c r="BR11" i="3"/>
  <c r="BV11" i="3" s="1"/>
  <c r="BR15" i="3"/>
  <c r="BR19" i="3"/>
  <c r="BV19" i="3" s="1"/>
  <c r="BR23" i="3"/>
  <c r="BV23" i="3" s="1"/>
  <c r="BR27" i="3"/>
  <c r="BV27" i="3" s="1"/>
  <c r="BR31" i="3"/>
  <c r="BR35" i="3"/>
  <c r="BV35" i="3" s="1"/>
  <c r="BR39" i="3"/>
  <c r="BV39" i="3" s="1"/>
  <c r="BR43" i="3"/>
  <c r="BV43" i="3" s="1"/>
  <c r="BR47" i="3"/>
  <c r="BR51" i="3"/>
  <c r="BV51" i="3" s="1"/>
  <c r="BR55" i="3"/>
  <c r="BV55" i="3" s="1"/>
  <c r="BR59" i="3"/>
  <c r="BV59" i="3" s="1"/>
  <c r="BR63" i="3"/>
  <c r="BR67" i="3"/>
  <c r="BV67" i="3" s="1"/>
  <c r="BR71" i="3"/>
  <c r="BV71" i="3" s="1"/>
  <c r="BR75" i="3"/>
  <c r="BV75" i="3" s="1"/>
  <c r="BR79" i="3"/>
  <c r="BR83" i="3"/>
  <c r="BV83" i="3" s="1"/>
  <c r="BR87" i="3"/>
  <c r="BV87" i="3" s="1"/>
  <c r="BR91" i="3"/>
  <c r="BV91" i="3" s="1"/>
  <c r="BR95" i="3"/>
  <c r="BR99" i="3"/>
  <c r="BV99" i="3" s="1"/>
  <c r="BR103" i="3"/>
  <c r="BV103" i="3" s="1"/>
  <c r="BT10" i="3"/>
  <c r="BT18" i="3"/>
  <c r="BX18" i="3" s="1"/>
  <c r="BT26" i="3"/>
  <c r="BX26" i="3" s="1"/>
  <c r="BT34" i="3"/>
  <c r="BX34" i="3" s="1"/>
  <c r="BT42" i="3"/>
  <c r="BT48" i="3"/>
  <c r="BX48" i="3" s="1"/>
  <c r="BT52" i="3"/>
  <c r="BX52" i="3" s="1"/>
  <c r="BT56" i="3"/>
  <c r="BT60" i="3"/>
  <c r="BX60" i="3" s="1"/>
  <c r="BT64" i="3"/>
  <c r="BX64" i="3" s="1"/>
  <c r="BT68" i="3"/>
  <c r="BX68" i="3" s="1"/>
  <c r="BT72" i="3"/>
  <c r="BX72" i="3" s="1"/>
  <c r="BT76" i="3"/>
  <c r="BX76" i="3" s="1"/>
  <c r="BT80" i="3"/>
  <c r="BX80" i="3" s="1"/>
  <c r="BT84" i="3"/>
  <c r="BX84" i="3" s="1"/>
  <c r="BT88" i="3"/>
  <c r="BX88" i="3" s="1"/>
  <c r="BT92" i="3"/>
  <c r="BT96" i="3"/>
  <c r="BX96" i="3" s="1"/>
  <c r="BT100" i="3"/>
  <c r="BX100" i="3" s="1"/>
  <c r="BT104" i="3"/>
  <c r="BX104" i="3" s="1"/>
  <c r="BS8" i="3"/>
  <c r="BS12" i="3"/>
  <c r="BW12" i="3" s="1"/>
  <c r="BS16" i="3"/>
  <c r="BW16" i="3" s="1"/>
  <c r="BS20" i="3"/>
  <c r="BW20" i="3" s="1"/>
  <c r="BS24" i="3"/>
  <c r="BS28" i="3"/>
  <c r="BW28" i="3" s="1"/>
  <c r="BS32" i="3"/>
  <c r="BW32" i="3" s="1"/>
  <c r="BS36" i="3"/>
  <c r="BW36" i="3" s="1"/>
  <c r="BS40" i="3"/>
  <c r="BS44" i="3"/>
  <c r="BW44" i="3" s="1"/>
  <c r="BS48" i="3"/>
  <c r="BW48" i="3" s="1"/>
  <c r="BS52" i="3"/>
  <c r="BW52" i="3" s="1"/>
  <c r="BS56" i="3"/>
  <c r="BS60" i="3"/>
  <c r="BW60" i="3" s="1"/>
  <c r="BS64" i="3"/>
  <c r="BW64" i="3" s="1"/>
  <c r="BS68" i="3"/>
  <c r="BW68" i="3" s="1"/>
  <c r="BS72" i="3"/>
  <c r="BS76" i="3"/>
  <c r="BW76" i="3" s="1"/>
  <c r="BS80" i="3"/>
  <c r="BW80" i="3" s="1"/>
  <c r="BS84" i="3"/>
  <c r="BW84" i="3" s="1"/>
  <c r="BS88" i="3"/>
  <c r="BS92" i="3"/>
  <c r="BW92" i="3" s="1"/>
  <c r="BS96" i="3"/>
  <c r="BW96" i="3" s="1"/>
  <c r="BS100" i="3"/>
  <c r="BW100" i="3" s="1"/>
  <c r="BS104" i="3"/>
  <c r="BR8" i="3"/>
  <c r="BV8" i="3" s="1"/>
  <c r="BR12" i="3"/>
  <c r="BV12" i="3" s="1"/>
  <c r="BR16" i="3"/>
  <c r="BV16" i="3" s="1"/>
  <c r="BR20" i="3"/>
  <c r="BR24" i="3"/>
  <c r="BV24" i="3" s="1"/>
  <c r="BR28" i="3"/>
  <c r="BV28" i="3" s="1"/>
  <c r="BR32" i="3"/>
  <c r="BV32" i="3" s="1"/>
  <c r="BR36" i="3"/>
  <c r="BR40" i="3"/>
  <c r="BV40" i="3" s="1"/>
  <c r="BR44" i="3"/>
  <c r="BV44" i="3" s="1"/>
  <c r="BR48" i="3"/>
  <c r="BV48" i="3" s="1"/>
  <c r="BR52" i="3"/>
  <c r="BR56" i="3"/>
  <c r="BV56" i="3" s="1"/>
  <c r="BR60" i="3"/>
  <c r="BV60" i="3" s="1"/>
  <c r="BR64" i="3"/>
  <c r="BV64" i="3" s="1"/>
  <c r="BR68" i="3"/>
  <c r="BR72" i="3"/>
  <c r="BV72" i="3" s="1"/>
  <c r="BR76" i="3"/>
  <c r="BV76" i="3" s="1"/>
  <c r="BR80" i="3"/>
  <c r="BV80" i="3" s="1"/>
  <c r="BR84" i="3"/>
  <c r="BR88" i="3"/>
  <c r="BV88" i="3" s="1"/>
  <c r="BR92" i="3"/>
  <c r="BV92" i="3" s="1"/>
  <c r="BR96" i="3"/>
  <c r="BV96" i="3" s="1"/>
  <c r="BR100" i="3"/>
  <c r="BR104" i="3"/>
  <c r="BV104" i="3" s="1"/>
  <c r="BT13" i="3"/>
  <c r="BX13" i="3" s="1"/>
  <c r="BT21" i="3"/>
  <c r="BX21" i="3" s="1"/>
  <c r="BT29" i="3"/>
  <c r="BX29" i="3" s="1"/>
  <c r="BT37" i="3"/>
  <c r="BX37" i="3" s="1"/>
  <c r="BT45" i="3"/>
  <c r="BT49" i="3"/>
  <c r="BX49" i="3" s="1"/>
  <c r="BT53" i="3"/>
  <c r="BX53" i="3" s="1"/>
  <c r="BT57" i="3"/>
  <c r="BT61" i="3"/>
  <c r="BX61" i="3" s="1"/>
  <c r="BT65" i="3"/>
  <c r="BX65" i="3" s="1"/>
  <c r="BT69" i="3"/>
  <c r="BX69" i="3" s="1"/>
  <c r="BT73" i="3"/>
  <c r="BX73" i="3" s="1"/>
  <c r="BT77" i="3"/>
  <c r="BX77" i="3" s="1"/>
  <c r="BT81" i="3"/>
  <c r="BX81" i="3" s="1"/>
  <c r="BT85" i="3"/>
  <c r="BX85" i="3" s="1"/>
  <c r="BT89" i="3"/>
  <c r="BX89" i="3" s="1"/>
  <c r="BT93" i="3"/>
  <c r="BX93" i="3" s="1"/>
  <c r="BT97" i="3"/>
  <c r="BT101" i="3"/>
  <c r="BX101" i="3" s="1"/>
  <c r="BT105" i="3"/>
  <c r="BX105" i="3" s="1"/>
  <c r="BS9" i="3"/>
  <c r="BW9" i="3" s="1"/>
  <c r="BS13" i="3"/>
  <c r="BS17" i="3"/>
  <c r="BW17" i="3" s="1"/>
  <c r="BS21" i="3"/>
  <c r="BW21" i="3" s="1"/>
  <c r="BS25" i="3"/>
  <c r="BW25" i="3" s="1"/>
  <c r="BS29" i="3"/>
  <c r="BS33" i="3"/>
  <c r="BW33" i="3" s="1"/>
  <c r="BS37" i="3"/>
  <c r="BW37" i="3" s="1"/>
  <c r="BS41" i="3"/>
  <c r="BW41" i="3" s="1"/>
  <c r="BS45" i="3"/>
  <c r="BS49" i="3"/>
  <c r="BW49" i="3" s="1"/>
  <c r="BS53" i="3"/>
  <c r="BW53" i="3" s="1"/>
  <c r="BS57" i="3"/>
  <c r="BW57" i="3" s="1"/>
  <c r="BS61" i="3"/>
  <c r="BS65" i="3"/>
  <c r="BW65" i="3" s="1"/>
  <c r="BS69" i="3"/>
  <c r="BW69" i="3" s="1"/>
  <c r="BS73" i="3"/>
  <c r="BW73" i="3" s="1"/>
  <c r="BS77" i="3"/>
  <c r="BS81" i="3"/>
  <c r="BW81" i="3" s="1"/>
  <c r="BS85" i="3"/>
  <c r="BW85" i="3" s="1"/>
  <c r="BS89" i="3"/>
  <c r="BW89" i="3" s="1"/>
  <c r="BS93" i="3"/>
  <c r="BS97" i="3"/>
  <c r="BW97" i="3" s="1"/>
  <c r="BS101" i="3"/>
  <c r="BW101" i="3" s="1"/>
  <c r="BS105" i="3"/>
  <c r="BW105" i="3" s="1"/>
  <c r="BR9" i="3"/>
  <c r="BR13" i="3"/>
  <c r="BV13" i="3" s="1"/>
  <c r="BR17" i="3"/>
  <c r="BV17" i="3" s="1"/>
  <c r="BR21" i="3"/>
  <c r="BV21" i="3" s="1"/>
  <c r="BR25" i="3"/>
  <c r="BR29" i="3"/>
  <c r="BV29" i="3" s="1"/>
  <c r="BR33" i="3"/>
  <c r="BV33" i="3" s="1"/>
  <c r="BR37" i="3"/>
  <c r="BV37" i="3" s="1"/>
  <c r="BR41" i="3"/>
  <c r="BR45" i="3"/>
  <c r="BV45" i="3" s="1"/>
  <c r="BR49" i="3"/>
  <c r="BV49" i="3" s="1"/>
  <c r="BR53" i="3"/>
  <c r="BV53" i="3" s="1"/>
  <c r="BR57" i="3"/>
  <c r="BR61" i="3"/>
  <c r="BV61" i="3" s="1"/>
  <c r="BR65" i="3"/>
  <c r="BV65" i="3" s="1"/>
  <c r="BR69" i="3"/>
  <c r="BV69" i="3" s="1"/>
  <c r="BR73" i="3"/>
  <c r="BV73" i="3" s="1"/>
  <c r="BR77" i="3"/>
  <c r="BV77" i="3" s="1"/>
  <c r="BR81" i="3"/>
  <c r="BV81" i="3" s="1"/>
  <c r="BR85" i="3"/>
  <c r="BV85" i="3" s="1"/>
  <c r="BR89" i="3"/>
  <c r="BV89" i="3" s="1"/>
  <c r="BR93" i="3"/>
  <c r="BV93" i="3" s="1"/>
  <c r="BR97" i="3"/>
  <c r="BV97" i="3" s="1"/>
  <c r="BR101" i="3"/>
  <c r="BV101" i="3" s="1"/>
  <c r="BR105" i="3"/>
  <c r="BV94" i="3"/>
  <c r="BV78" i="3"/>
  <c r="BV62" i="3"/>
  <c r="BV46" i="3"/>
  <c r="BV30" i="3"/>
  <c r="BV14" i="3"/>
  <c r="BW98" i="3"/>
  <c r="BW82" i="3"/>
  <c r="BW66" i="3"/>
  <c r="BW50" i="3"/>
  <c r="BW34" i="3"/>
  <c r="BW18" i="3"/>
  <c r="BX102" i="3"/>
  <c r="BX86" i="3"/>
  <c r="BX56" i="3"/>
  <c r="BV105" i="3"/>
  <c r="BV57" i="3"/>
  <c r="BV41" i="3"/>
  <c r="BV25" i="3"/>
  <c r="BV9" i="3"/>
  <c r="BW93" i="3"/>
  <c r="BW77" i="3"/>
  <c r="BW61" i="3"/>
  <c r="BW45" i="3"/>
  <c r="BW29" i="3"/>
  <c r="BW13" i="3"/>
  <c r="BX97" i="3"/>
  <c r="BX45" i="3"/>
  <c r="BV100" i="3"/>
  <c r="BV84" i="3"/>
  <c r="BV68" i="3"/>
  <c r="BV52" i="3"/>
  <c r="BV36" i="3"/>
  <c r="BV20" i="3"/>
  <c r="BW104" i="3"/>
  <c r="BW88" i="3"/>
  <c r="BW72" i="3"/>
  <c r="BW56" i="3"/>
  <c r="BW40" i="3"/>
  <c r="BW24" i="3"/>
  <c r="BW8" i="3"/>
  <c r="BX92" i="3"/>
  <c r="BX36" i="3"/>
  <c r="BV95" i="3"/>
  <c r="BV79" i="3"/>
  <c r="BV63" i="3"/>
  <c r="BV47" i="3"/>
  <c r="BV31" i="3"/>
  <c r="BV15" i="3"/>
  <c r="BW99" i="3"/>
  <c r="BW83" i="3"/>
  <c r="BW67" i="3"/>
  <c r="BW51" i="3"/>
  <c r="BW35" i="3"/>
  <c r="BW19" i="3"/>
  <c r="BX103" i="3"/>
  <c r="BX87" i="3"/>
  <c r="BX57" i="3"/>
  <c r="BX25" i="3"/>
  <c r="BX9" i="3"/>
  <c r="BX12" i="3"/>
  <c r="BX59" i="3"/>
  <c r="BX74" i="3"/>
  <c r="BX58" i="3"/>
  <c r="BX42" i="3"/>
  <c r="BX10" i="3"/>
  <c r="AQ2" i="3"/>
  <c r="AH6" i="3"/>
  <c r="AX6" i="3" s="1"/>
  <c r="AH10" i="3"/>
  <c r="AX10" i="3" s="1"/>
  <c r="AH14" i="3"/>
  <c r="AX14" i="3" s="1"/>
  <c r="AH18" i="3"/>
  <c r="AX18" i="3" s="1"/>
  <c r="AH22" i="3"/>
  <c r="AX22" i="3" s="1"/>
  <c r="AH26" i="3"/>
  <c r="AX26" i="3" s="1"/>
  <c r="AH30" i="3"/>
  <c r="AX30" i="3" s="1"/>
  <c r="AH34" i="3"/>
  <c r="AX34" i="3" s="1"/>
  <c r="AH38" i="3"/>
  <c r="AX38" i="3" s="1"/>
  <c r="AH42" i="3"/>
  <c r="AX42" i="3" s="1"/>
  <c r="AH46" i="3"/>
  <c r="AX46" i="3" s="1"/>
  <c r="AH50" i="3"/>
  <c r="AX50" i="3" s="1"/>
  <c r="AH54" i="3"/>
  <c r="AX54" i="3" s="1"/>
  <c r="AH58" i="3"/>
  <c r="AX58" i="3" s="1"/>
  <c r="AH62" i="3"/>
  <c r="AX62" i="3" s="1"/>
  <c r="AH66" i="3"/>
  <c r="AX66" i="3" s="1"/>
  <c r="AH70" i="3"/>
  <c r="AX70" i="3" s="1"/>
  <c r="AH74" i="3"/>
  <c r="AX74" i="3" s="1"/>
  <c r="AH78" i="3"/>
  <c r="AX78" i="3" s="1"/>
  <c r="AH82" i="3"/>
  <c r="AX82" i="3" s="1"/>
  <c r="AH86" i="3"/>
  <c r="AX86" i="3" s="1"/>
  <c r="AH90" i="3"/>
  <c r="AX90" i="3" s="1"/>
  <c r="AH94" i="3"/>
  <c r="AX94" i="3" s="1"/>
  <c r="AH98" i="3"/>
  <c r="AX98" i="3" s="1"/>
  <c r="AH102" i="3"/>
  <c r="AX102" i="3" s="1"/>
  <c r="AG6" i="3"/>
  <c r="AV6" i="3" s="1"/>
  <c r="AH7" i="3"/>
  <c r="AX7" i="3" s="1"/>
  <c r="AH11" i="3"/>
  <c r="AH15" i="3"/>
  <c r="AX15" i="3" s="1"/>
  <c r="AH19" i="3"/>
  <c r="AH23" i="3"/>
  <c r="AX23" i="3" s="1"/>
  <c r="AH27" i="3"/>
  <c r="AX27" i="3" s="1"/>
  <c r="AH31" i="3"/>
  <c r="AH35" i="3"/>
  <c r="AH39" i="3"/>
  <c r="AX39" i="3" s="1"/>
  <c r="AH43" i="3"/>
  <c r="AH47" i="3"/>
  <c r="AX47" i="3" s="1"/>
  <c r="AH51" i="3"/>
  <c r="AH55" i="3"/>
  <c r="AX55" i="3" s="1"/>
  <c r="AH59" i="3"/>
  <c r="AH63" i="3"/>
  <c r="AX63" i="3" s="1"/>
  <c r="AH67" i="3"/>
  <c r="AX67" i="3" s="1"/>
  <c r="AH71" i="3"/>
  <c r="AX71" i="3" s="1"/>
  <c r="AH75" i="3"/>
  <c r="AH79" i="3"/>
  <c r="AX79" i="3" s="1"/>
  <c r="AH83" i="3"/>
  <c r="AX83" i="3" s="1"/>
  <c r="AH87" i="3"/>
  <c r="AX87" i="3" s="1"/>
  <c r="AH91" i="3"/>
  <c r="AX91" i="3" s="1"/>
  <c r="AH95" i="3"/>
  <c r="AX95" i="3" s="1"/>
  <c r="AH99" i="3"/>
  <c r="AH103" i="3"/>
  <c r="AX103" i="3" s="1"/>
  <c r="AG7" i="3"/>
  <c r="AG11" i="3"/>
  <c r="AV11" i="3" s="1"/>
  <c r="AH9" i="3"/>
  <c r="AH17" i="3"/>
  <c r="AX17" i="3" s="1"/>
  <c r="AH25" i="3"/>
  <c r="AX25" i="3" s="1"/>
  <c r="AH33" i="3"/>
  <c r="AX33" i="3" s="1"/>
  <c r="AH41" i="3"/>
  <c r="AH49" i="3"/>
  <c r="AX49" i="3" s="1"/>
  <c r="AH57" i="3"/>
  <c r="AH65" i="3"/>
  <c r="AX65" i="3" s="1"/>
  <c r="AH73" i="3"/>
  <c r="AX73" i="3" s="1"/>
  <c r="AH81" i="3"/>
  <c r="AX81" i="3" s="1"/>
  <c r="AH89" i="3"/>
  <c r="AX89" i="3" s="1"/>
  <c r="AH97" i="3"/>
  <c r="AH5" i="3"/>
  <c r="AX5" i="3" s="1"/>
  <c r="AG12" i="3"/>
  <c r="AV12" i="3" s="1"/>
  <c r="AG16" i="3"/>
  <c r="AG20" i="3"/>
  <c r="AV20" i="3" s="1"/>
  <c r="AG24" i="3"/>
  <c r="AV24" i="3" s="1"/>
  <c r="AG28" i="3"/>
  <c r="AV28" i="3" s="1"/>
  <c r="AG32" i="3"/>
  <c r="AG36" i="3"/>
  <c r="AV36" i="3" s="1"/>
  <c r="AG40" i="3"/>
  <c r="AV40" i="3" s="1"/>
  <c r="AG44" i="3"/>
  <c r="AV44" i="3" s="1"/>
  <c r="AG48" i="3"/>
  <c r="AG52" i="3"/>
  <c r="AV52" i="3" s="1"/>
  <c r="AG56" i="3"/>
  <c r="AG60" i="3"/>
  <c r="AV60" i="3" s="1"/>
  <c r="AG64" i="3"/>
  <c r="AV64" i="3" s="1"/>
  <c r="AG68" i="3"/>
  <c r="AV68" i="3" s="1"/>
  <c r="AG72" i="3"/>
  <c r="AV72" i="3" s="1"/>
  <c r="AG76" i="3"/>
  <c r="AV76" i="3" s="1"/>
  <c r="AG80" i="3"/>
  <c r="AG84" i="3"/>
  <c r="AV84" i="3" s="1"/>
  <c r="AG88" i="3"/>
  <c r="AV88" i="3" s="1"/>
  <c r="AG92" i="3"/>
  <c r="AV92" i="3" s="1"/>
  <c r="AG96" i="3"/>
  <c r="AG100" i="3"/>
  <c r="AV100" i="3" s="1"/>
  <c r="AG104" i="3"/>
  <c r="AV104" i="3" s="1"/>
  <c r="AF8" i="3"/>
  <c r="AT8" i="3" s="1"/>
  <c r="AF12" i="3"/>
  <c r="AF16" i="3"/>
  <c r="AT16" i="3" s="1"/>
  <c r="AF20" i="3"/>
  <c r="AF24" i="3"/>
  <c r="AT24" i="3" s="1"/>
  <c r="AF28" i="3"/>
  <c r="AF32" i="3"/>
  <c r="AT32" i="3" s="1"/>
  <c r="AF36" i="3"/>
  <c r="AT36" i="3" s="1"/>
  <c r="AF40" i="3"/>
  <c r="AT40" i="3" s="1"/>
  <c r="AF44" i="3"/>
  <c r="AF48" i="3"/>
  <c r="AT48" i="3" s="1"/>
  <c r="AF52" i="3"/>
  <c r="AF56" i="3"/>
  <c r="AT56" i="3" s="1"/>
  <c r="AF60" i="3"/>
  <c r="AT60" i="3" s="1"/>
  <c r="AF64" i="3"/>
  <c r="AT64" i="3" s="1"/>
  <c r="AF68" i="3"/>
  <c r="AT68" i="3" s="1"/>
  <c r="AF72" i="3"/>
  <c r="AT72" i="3" s="1"/>
  <c r="AF76" i="3"/>
  <c r="AF80" i="3"/>
  <c r="AT80" i="3" s="1"/>
  <c r="AF84" i="3"/>
  <c r="AT84" i="3" s="1"/>
  <c r="AF88" i="3"/>
  <c r="AT88" i="3" s="1"/>
  <c r="AF92" i="3"/>
  <c r="AT92" i="3" s="1"/>
  <c r="AF96" i="3"/>
  <c r="AF100" i="3"/>
  <c r="AT100" i="3" s="1"/>
  <c r="AF104" i="3"/>
  <c r="AT104" i="3" s="1"/>
  <c r="AH12" i="3"/>
  <c r="AH20" i="3"/>
  <c r="AX20" i="3" s="1"/>
  <c r="AH28" i="3"/>
  <c r="AX28" i="3" s="1"/>
  <c r="AH36" i="3"/>
  <c r="AX36" i="3" s="1"/>
  <c r="AH44" i="3"/>
  <c r="AX44" i="3" s="1"/>
  <c r="AH52" i="3"/>
  <c r="AX52" i="3" s="1"/>
  <c r="AH60" i="3"/>
  <c r="AX60" i="3" s="1"/>
  <c r="AH68" i="3"/>
  <c r="AX68" i="3" s="1"/>
  <c r="AH76" i="3"/>
  <c r="AH84" i="3"/>
  <c r="AX84" i="3" s="1"/>
  <c r="AH92" i="3"/>
  <c r="AX92" i="3" s="1"/>
  <c r="AH100" i="3"/>
  <c r="AX100" i="3" s="1"/>
  <c r="AG8" i="3"/>
  <c r="AV8" i="3" s="1"/>
  <c r="AG13" i="3"/>
  <c r="AV13" i="3" s="1"/>
  <c r="AG17" i="3"/>
  <c r="AG21" i="3"/>
  <c r="AV21" i="3" s="1"/>
  <c r="AG25" i="3"/>
  <c r="AV25" i="3" s="1"/>
  <c r="AG29" i="3"/>
  <c r="AV29" i="3" s="1"/>
  <c r="AG33" i="3"/>
  <c r="AG37" i="3"/>
  <c r="AV37" i="3" s="1"/>
  <c r="AG41" i="3"/>
  <c r="AV41" i="3" s="1"/>
  <c r="AG45" i="3"/>
  <c r="AV45" i="3" s="1"/>
  <c r="AG49" i="3"/>
  <c r="AV49" i="3" s="1"/>
  <c r="AG53" i="3"/>
  <c r="AV53" i="3" s="1"/>
  <c r="AG57" i="3"/>
  <c r="AG61" i="3"/>
  <c r="AV61" i="3" s="1"/>
  <c r="AG65" i="3"/>
  <c r="AV65" i="3" s="1"/>
  <c r="AG69" i="3"/>
  <c r="AV69" i="3" s="1"/>
  <c r="AG73" i="3"/>
  <c r="AG77" i="3"/>
  <c r="AV77" i="3" s="1"/>
  <c r="AG81" i="3"/>
  <c r="AV81" i="3" s="1"/>
  <c r="AG85" i="3"/>
  <c r="AV85" i="3" s="1"/>
  <c r="AG89" i="3"/>
  <c r="AG93" i="3"/>
  <c r="AV93" i="3" s="1"/>
  <c r="AG97" i="3"/>
  <c r="AV97" i="3" s="1"/>
  <c r="AG101" i="3"/>
  <c r="AV101" i="3" s="1"/>
  <c r="AG5" i="3"/>
  <c r="AT9" i="3"/>
  <c r="AF13" i="3"/>
  <c r="AT13" i="3" s="1"/>
  <c r="AF17" i="3"/>
  <c r="AT17" i="3" s="1"/>
  <c r="AF21" i="3"/>
  <c r="AT21" i="3" s="1"/>
  <c r="AF25" i="3"/>
  <c r="AT25" i="3" s="1"/>
  <c r="AF29" i="3"/>
  <c r="AT29" i="3" s="1"/>
  <c r="AF33" i="3"/>
  <c r="AT33" i="3" s="1"/>
  <c r="AF37" i="3"/>
  <c r="AT37" i="3" s="1"/>
  <c r="AF41" i="3"/>
  <c r="AT41" i="3" s="1"/>
  <c r="AF45" i="3"/>
  <c r="AT45" i="3" s="1"/>
  <c r="AF49" i="3"/>
  <c r="AT49" i="3" s="1"/>
  <c r="AF53" i="3"/>
  <c r="AT53" i="3" s="1"/>
  <c r="AF57" i="3"/>
  <c r="AT57" i="3" s="1"/>
  <c r="AF61" i="3"/>
  <c r="AT61" i="3" s="1"/>
  <c r="AF65" i="3"/>
  <c r="AT65" i="3" s="1"/>
  <c r="AF69" i="3"/>
  <c r="AT69" i="3" s="1"/>
  <c r="AF73" i="3"/>
  <c r="AT73" i="3" s="1"/>
  <c r="AF77" i="3"/>
  <c r="AT77" i="3" s="1"/>
  <c r="AF81" i="3"/>
  <c r="AT81" i="3" s="1"/>
  <c r="AF85" i="3"/>
  <c r="AT85" i="3" s="1"/>
  <c r="AF89" i="3"/>
  <c r="AT89" i="3" s="1"/>
  <c r="AF93" i="3"/>
  <c r="AT93" i="3" s="1"/>
  <c r="AF97" i="3"/>
  <c r="AT97" i="3" s="1"/>
  <c r="AF101" i="3"/>
  <c r="AT101" i="3" s="1"/>
  <c r="AH13" i="3"/>
  <c r="AX13" i="3" s="1"/>
  <c r="AH29" i="3"/>
  <c r="AX29" i="3" s="1"/>
  <c r="AH45" i="3"/>
  <c r="AX45" i="3" s="1"/>
  <c r="AH61" i="3"/>
  <c r="AH77" i="3"/>
  <c r="AX77" i="3" s="1"/>
  <c r="AH93" i="3"/>
  <c r="AX93" i="3" s="1"/>
  <c r="AG14" i="3"/>
  <c r="AV14" i="3" s="1"/>
  <c r="AG22" i="3"/>
  <c r="AV22" i="3" s="1"/>
  <c r="AG30" i="3"/>
  <c r="AV30" i="3" s="1"/>
  <c r="AG38" i="3"/>
  <c r="AV38" i="3" s="1"/>
  <c r="AG46" i="3"/>
  <c r="AV46" i="3" s="1"/>
  <c r="AG54" i="3"/>
  <c r="AG62" i="3"/>
  <c r="AV62" i="3" s="1"/>
  <c r="AG70" i="3"/>
  <c r="AV70" i="3" s="1"/>
  <c r="AG78" i="3"/>
  <c r="AV78" i="3" s="1"/>
  <c r="AG86" i="3"/>
  <c r="AV86" i="3" s="1"/>
  <c r="AG94" i="3"/>
  <c r="AG102" i="3"/>
  <c r="AV102" i="3" s="1"/>
  <c r="AT10" i="3"/>
  <c r="AF18" i="3"/>
  <c r="AF26" i="3"/>
  <c r="AT26" i="3" s="1"/>
  <c r="AF34" i="3"/>
  <c r="AT34" i="3" s="1"/>
  <c r="AF42" i="3"/>
  <c r="AT42" i="3" s="1"/>
  <c r="AF50" i="3"/>
  <c r="AT50" i="3" s="1"/>
  <c r="AF58" i="3"/>
  <c r="AT58" i="3" s="1"/>
  <c r="AF66" i="3"/>
  <c r="AT66" i="3" s="1"/>
  <c r="AF74" i="3"/>
  <c r="AT74" i="3" s="1"/>
  <c r="AF82" i="3"/>
  <c r="AT82" i="3" s="1"/>
  <c r="AF90" i="3"/>
  <c r="AT90" i="3" s="1"/>
  <c r="AF98" i="3"/>
  <c r="AT98" i="3" s="1"/>
  <c r="AH53" i="3"/>
  <c r="AX53" i="3" s="1"/>
  <c r="AG9" i="3"/>
  <c r="AV9" i="3" s="1"/>
  <c r="AG34" i="3"/>
  <c r="AV34" i="3" s="1"/>
  <c r="AG58" i="3"/>
  <c r="AV58" i="3" s="1"/>
  <c r="AG82" i="3"/>
  <c r="AV82" i="3" s="1"/>
  <c r="AG98" i="3"/>
  <c r="AV98" i="3" s="1"/>
  <c r="AF14" i="3"/>
  <c r="AT14" i="3" s="1"/>
  <c r="AF30" i="3"/>
  <c r="AT30" i="3" s="1"/>
  <c r="AF54" i="3"/>
  <c r="AT54" i="3" s="1"/>
  <c r="AF70" i="3"/>
  <c r="AF86" i="3"/>
  <c r="AT86" i="3" s="1"/>
  <c r="AH8" i="3"/>
  <c r="AX8" i="3" s="1"/>
  <c r="AH24" i="3"/>
  <c r="AX24" i="3" s="1"/>
  <c r="AH40" i="3"/>
  <c r="AH56" i="3"/>
  <c r="AX56" i="3" s="1"/>
  <c r="AH72" i="3"/>
  <c r="AX72" i="3" s="1"/>
  <c r="AH88" i="3"/>
  <c r="AX88" i="3" s="1"/>
  <c r="AH104" i="3"/>
  <c r="AG10" i="3"/>
  <c r="AV10" i="3" s="1"/>
  <c r="AG19" i="3"/>
  <c r="AV19" i="3" s="1"/>
  <c r="AG27" i="3"/>
  <c r="AV27" i="3" s="1"/>
  <c r="AG35" i="3"/>
  <c r="AV35" i="3" s="1"/>
  <c r="AG43" i="3"/>
  <c r="AV43" i="3" s="1"/>
  <c r="AG51" i="3"/>
  <c r="AV51" i="3" s="1"/>
  <c r="AG59" i="3"/>
  <c r="AV59" i="3" s="1"/>
  <c r="AG67" i="3"/>
  <c r="AV67" i="3" s="1"/>
  <c r="AG75" i="3"/>
  <c r="AV75" i="3" s="1"/>
  <c r="AG83" i="3"/>
  <c r="AV83" i="3" s="1"/>
  <c r="AG91" i="3"/>
  <c r="AV91" i="3" s="1"/>
  <c r="AG99" i="3"/>
  <c r="AF7" i="3"/>
  <c r="AT7" i="3" s="1"/>
  <c r="AF15" i="3"/>
  <c r="AT15" i="3" s="1"/>
  <c r="AF23" i="3"/>
  <c r="AT23" i="3" s="1"/>
  <c r="AF31" i="3"/>
  <c r="AT31" i="3" s="1"/>
  <c r="AF39" i="3"/>
  <c r="AT39" i="3" s="1"/>
  <c r="AF47" i="3"/>
  <c r="AT47" i="3" s="1"/>
  <c r="AF55" i="3"/>
  <c r="AT55" i="3" s="1"/>
  <c r="AF63" i="3"/>
  <c r="AT63" i="3" s="1"/>
  <c r="AF71" i="3"/>
  <c r="AT71" i="3" s="1"/>
  <c r="AF79" i="3"/>
  <c r="AT79" i="3" s="1"/>
  <c r="AF87" i="3"/>
  <c r="AT87" i="3" s="1"/>
  <c r="AH16" i="3"/>
  <c r="AX16" i="3" s="1"/>
  <c r="AH32" i="3"/>
  <c r="AX32" i="3" s="1"/>
  <c r="AH48" i="3"/>
  <c r="AX48" i="3" s="1"/>
  <c r="AH64" i="3"/>
  <c r="AX64" i="3" s="1"/>
  <c r="AH80" i="3"/>
  <c r="AX80" i="3" s="1"/>
  <c r="AH96" i="3"/>
  <c r="AX96" i="3" s="1"/>
  <c r="AG15" i="3"/>
  <c r="AV15" i="3" s="1"/>
  <c r="AG23" i="3"/>
  <c r="AV23" i="3" s="1"/>
  <c r="AG31" i="3"/>
  <c r="AG39" i="3"/>
  <c r="AV39" i="3" s="1"/>
  <c r="AG47" i="3"/>
  <c r="AV47" i="3" s="1"/>
  <c r="AG55" i="3"/>
  <c r="AV55" i="3" s="1"/>
  <c r="AG63" i="3"/>
  <c r="AV63" i="3" s="1"/>
  <c r="AG71" i="3"/>
  <c r="AV71" i="3" s="1"/>
  <c r="AG79" i="3"/>
  <c r="AV79" i="3" s="1"/>
  <c r="AG87" i="3"/>
  <c r="AV87" i="3" s="1"/>
  <c r="AG95" i="3"/>
  <c r="AV95" i="3" s="1"/>
  <c r="AG103" i="3"/>
  <c r="AV103" i="3" s="1"/>
  <c r="AF11" i="3"/>
  <c r="AT11" i="3" s="1"/>
  <c r="AF19" i="3"/>
  <c r="AT19" i="3" s="1"/>
  <c r="AF27" i="3"/>
  <c r="AF35" i="3"/>
  <c r="AT35" i="3" s="1"/>
  <c r="AF43" i="3"/>
  <c r="AT43" i="3" s="1"/>
  <c r="AF51" i="3"/>
  <c r="AT51" i="3" s="1"/>
  <c r="AF59" i="3"/>
  <c r="AT59" i="3" s="1"/>
  <c r="AF67" i="3"/>
  <c r="AT67" i="3" s="1"/>
  <c r="AF75" i="3"/>
  <c r="AT75" i="3" s="1"/>
  <c r="AF83" i="3"/>
  <c r="AT83" i="3" s="1"/>
  <c r="AF91" i="3"/>
  <c r="AT91" i="3" s="1"/>
  <c r="AF99" i="3"/>
  <c r="AT99" i="3" s="1"/>
  <c r="AH21" i="3"/>
  <c r="AX21" i="3" s="1"/>
  <c r="AH37" i="3"/>
  <c r="AX37" i="3" s="1"/>
  <c r="AH69" i="3"/>
  <c r="AH85" i="3"/>
  <c r="AX85" i="3" s="1"/>
  <c r="AH101" i="3"/>
  <c r="AX101" i="3" s="1"/>
  <c r="AG18" i="3"/>
  <c r="AV18" i="3" s="1"/>
  <c r="AG26" i="3"/>
  <c r="AV26" i="3" s="1"/>
  <c r="AG42" i="3"/>
  <c r="AV42" i="3" s="1"/>
  <c r="AG50" i="3"/>
  <c r="AV50" i="3" s="1"/>
  <c r="AG66" i="3"/>
  <c r="AV66" i="3" s="1"/>
  <c r="AG74" i="3"/>
  <c r="AV74" i="3" s="1"/>
  <c r="AG90" i="3"/>
  <c r="AV90" i="3" s="1"/>
  <c r="AF6" i="3"/>
  <c r="AT6" i="3" s="1"/>
  <c r="AF22" i="3"/>
  <c r="AT22" i="3" s="1"/>
  <c r="AF38" i="3"/>
  <c r="AT38" i="3" s="1"/>
  <c r="AF46" i="3"/>
  <c r="AT46" i="3" s="1"/>
  <c r="AF62" i="3"/>
  <c r="AT62" i="3" s="1"/>
  <c r="AF78" i="3"/>
  <c r="AT78" i="3" s="1"/>
  <c r="AF94" i="3"/>
  <c r="AF102" i="3"/>
  <c r="AT102" i="3" s="1"/>
  <c r="AF95" i="3"/>
  <c r="AT95" i="3" s="1"/>
  <c r="AF103" i="3"/>
  <c r="AT103" i="3" s="1"/>
  <c r="AQ1" i="3"/>
  <c r="AT44" i="3"/>
  <c r="AT28" i="3"/>
  <c r="AT27" i="3"/>
  <c r="AT76" i="3"/>
  <c r="AV94" i="3"/>
  <c r="AT70" i="3"/>
  <c r="AV99" i="3"/>
  <c r="AX51" i="3"/>
  <c r="AT20" i="3"/>
  <c r="AV48" i="3"/>
  <c r="AX12" i="3"/>
  <c r="AX9" i="3"/>
  <c r="AX97" i="3"/>
  <c r="AX75" i="3"/>
  <c r="AX11" i="3"/>
  <c r="AV54" i="3"/>
  <c r="AV89" i="3"/>
  <c r="AX61" i="3"/>
  <c r="AT94" i="3"/>
  <c r="AT12" i="3"/>
  <c r="AX40" i="3"/>
  <c r="AX41" i="3"/>
  <c r="AX99" i="3"/>
  <c r="AX35" i="3"/>
  <c r="AX57" i="3"/>
  <c r="AV7" i="3"/>
  <c r="AV33" i="3"/>
  <c r="AX104" i="3"/>
  <c r="AV96" i="3"/>
  <c r="AV32" i="3"/>
  <c r="AX31" i="3"/>
  <c r="AX69" i="3"/>
  <c r="AX59" i="3"/>
  <c r="AV73" i="3"/>
  <c r="AV57" i="3"/>
  <c r="AV56" i="3"/>
  <c r="AV5" i="3"/>
  <c r="AV31" i="3"/>
  <c r="AX19" i="3"/>
  <c r="AV17" i="3"/>
  <c r="AT52" i="3"/>
  <c r="AV80" i="3"/>
  <c r="AV16" i="3"/>
  <c r="AX76" i="3"/>
  <c r="AT18" i="3"/>
  <c r="AT96" i="3"/>
  <c r="AX43" i="3"/>
  <c r="AR9" i="3"/>
  <c r="AR13" i="3"/>
  <c r="AR17" i="3"/>
  <c r="AR21" i="3"/>
  <c r="AR25" i="3"/>
  <c r="AY25" i="3" s="1"/>
  <c r="AR29" i="3"/>
  <c r="AR33" i="3"/>
  <c r="AR37" i="3"/>
  <c r="AR41" i="3"/>
  <c r="AR45" i="3"/>
  <c r="AR49" i="3"/>
  <c r="AR53" i="3"/>
  <c r="AR57" i="3"/>
  <c r="AR61" i="3"/>
  <c r="AR65" i="3"/>
  <c r="AR69" i="3"/>
  <c r="AR73" i="3"/>
  <c r="AY73" i="3" s="1"/>
  <c r="AR77" i="3"/>
  <c r="AR81" i="3"/>
  <c r="AR85" i="3"/>
  <c r="AR89" i="3"/>
  <c r="AY89" i="3" s="1"/>
  <c r="AR93" i="3"/>
  <c r="AR97" i="3"/>
  <c r="AR101" i="3"/>
  <c r="AR5" i="3"/>
  <c r="AY5" i="3" s="1"/>
  <c r="AQ9" i="3"/>
  <c r="AW9" i="3" s="1"/>
  <c r="AQ13" i="3"/>
  <c r="AQ17" i="3"/>
  <c r="AQ21" i="3"/>
  <c r="AQ25" i="3"/>
  <c r="AW25" i="3" s="1"/>
  <c r="AQ29" i="3"/>
  <c r="AQ33" i="3"/>
  <c r="AQ37" i="3"/>
  <c r="AQ41" i="3"/>
  <c r="AW41" i="3" s="1"/>
  <c r="AQ45" i="3"/>
  <c r="AQ49" i="3"/>
  <c r="AQ53" i="3"/>
  <c r="AQ57" i="3"/>
  <c r="AQ61" i="3"/>
  <c r="AQ65" i="3"/>
  <c r="AQ69" i="3"/>
  <c r="AQ73" i="3"/>
  <c r="AQ77" i="3"/>
  <c r="AQ81" i="3"/>
  <c r="AQ85" i="3"/>
  <c r="AQ89" i="3"/>
  <c r="AQ93" i="3"/>
  <c r="AQ97" i="3"/>
  <c r="AQ101" i="3"/>
  <c r="AQ5" i="3"/>
  <c r="AP9" i="3"/>
  <c r="AP13" i="3"/>
  <c r="AP17" i="3"/>
  <c r="AP21" i="3"/>
  <c r="AU21" i="3" s="1"/>
  <c r="AP25" i="3"/>
  <c r="AP29" i="3"/>
  <c r="AP33" i="3"/>
  <c r="AP37" i="3"/>
  <c r="AU37" i="3" s="1"/>
  <c r="AP41" i="3"/>
  <c r="AP45" i="3"/>
  <c r="AP49" i="3"/>
  <c r="AP53" i="3"/>
  <c r="AU53" i="3" s="1"/>
  <c r="AP57" i="3"/>
  <c r="AP61" i="3"/>
  <c r="AR6" i="3"/>
  <c r="AR10" i="3"/>
  <c r="AR14" i="3"/>
  <c r="AR18" i="3"/>
  <c r="AY18" i="3" s="1"/>
  <c r="AR22" i="3"/>
  <c r="AR26" i="3"/>
  <c r="AR30" i="3"/>
  <c r="AR34" i="3"/>
  <c r="AY34" i="3" s="1"/>
  <c r="AR38" i="3"/>
  <c r="AR42" i="3"/>
  <c r="AR46" i="3"/>
  <c r="AR50" i="3"/>
  <c r="AY50" i="3" s="1"/>
  <c r="AR54" i="3"/>
  <c r="AR58" i="3"/>
  <c r="AR62" i="3"/>
  <c r="AR66" i="3"/>
  <c r="AY66" i="3" s="1"/>
  <c r="AR70" i="3"/>
  <c r="AR74" i="3"/>
  <c r="AR78" i="3"/>
  <c r="AR82" i="3"/>
  <c r="AY82" i="3" s="1"/>
  <c r="AR86" i="3"/>
  <c r="AR90" i="3"/>
  <c r="AR94" i="3"/>
  <c r="AR98" i="3"/>
  <c r="AY98" i="3" s="1"/>
  <c r="AR102" i="3"/>
  <c r="AQ6" i="3"/>
  <c r="AQ10" i="3"/>
  <c r="AQ14" i="3"/>
  <c r="AQ18" i="3"/>
  <c r="AW18" i="3" s="1"/>
  <c r="AQ22" i="3"/>
  <c r="AW22" i="3" s="1"/>
  <c r="AQ26" i="3"/>
  <c r="AW26" i="3" s="1"/>
  <c r="AQ30" i="3"/>
  <c r="AQ34" i="3"/>
  <c r="AQ38" i="3"/>
  <c r="AQ42" i="3"/>
  <c r="AQ46" i="3"/>
  <c r="AQ50" i="3"/>
  <c r="AQ54" i="3"/>
  <c r="AQ58" i="3"/>
  <c r="AQ62" i="3"/>
  <c r="AQ66" i="3"/>
  <c r="AW66" i="3" s="1"/>
  <c r="AQ70" i="3"/>
  <c r="AQ74" i="3"/>
  <c r="AW74" i="3" s="1"/>
  <c r="AR7" i="3"/>
  <c r="AR15" i="3"/>
  <c r="AR23" i="3"/>
  <c r="AR31" i="3"/>
  <c r="AR39" i="3"/>
  <c r="AR47" i="3"/>
  <c r="AR55" i="3"/>
  <c r="AR63" i="3"/>
  <c r="AR71" i="3"/>
  <c r="AR79" i="3"/>
  <c r="AR87" i="3"/>
  <c r="AR95" i="3"/>
  <c r="AR103" i="3"/>
  <c r="AQ11" i="3"/>
  <c r="AQ19" i="3"/>
  <c r="AQ27" i="3"/>
  <c r="AQ35" i="3"/>
  <c r="AW35" i="3" s="1"/>
  <c r="AQ43" i="3"/>
  <c r="AQ51" i="3"/>
  <c r="AQ59" i="3"/>
  <c r="AQ67" i="3"/>
  <c r="AQ75" i="3"/>
  <c r="AQ80" i="3"/>
  <c r="AQ86" i="3"/>
  <c r="AW86" i="3" s="1"/>
  <c r="AQ91" i="3"/>
  <c r="AQ96" i="3"/>
  <c r="AQ102" i="3"/>
  <c r="AP7" i="3"/>
  <c r="AP12" i="3"/>
  <c r="AP18" i="3"/>
  <c r="AP23" i="3"/>
  <c r="AP28" i="3"/>
  <c r="AP34" i="3"/>
  <c r="AP39" i="3"/>
  <c r="AP44" i="3"/>
  <c r="AP50" i="3"/>
  <c r="AP55" i="3"/>
  <c r="AP60" i="3"/>
  <c r="AP65" i="3"/>
  <c r="AP69" i="3"/>
  <c r="AU69" i="3" s="1"/>
  <c r="AP73" i="3"/>
  <c r="AP77" i="3"/>
  <c r="AU77" i="3" s="1"/>
  <c r="AP81" i="3"/>
  <c r="AP85" i="3"/>
  <c r="AU85" i="3" s="1"/>
  <c r="AP89" i="3"/>
  <c r="AP93" i="3"/>
  <c r="AU93" i="3" s="1"/>
  <c r="AP97" i="3"/>
  <c r="AP101" i="3"/>
  <c r="AU101" i="3" s="1"/>
  <c r="AR8" i="3"/>
  <c r="AR16" i="3"/>
  <c r="AY16" i="3" s="1"/>
  <c r="AR24" i="3"/>
  <c r="AR32" i="3"/>
  <c r="AR40" i="3"/>
  <c r="AR48" i="3"/>
  <c r="AR56" i="3"/>
  <c r="AR64" i="3"/>
  <c r="AY64" i="3" s="1"/>
  <c r="AR72" i="3"/>
  <c r="AR80" i="3"/>
  <c r="AY80" i="3" s="1"/>
  <c r="AR88" i="3"/>
  <c r="AR96" i="3"/>
  <c r="AR104" i="3"/>
  <c r="AQ12" i="3"/>
  <c r="AQ20" i="3"/>
  <c r="AQ28" i="3"/>
  <c r="AQ36" i="3"/>
  <c r="AQ44" i="3"/>
  <c r="AQ52" i="3"/>
  <c r="AQ60" i="3"/>
  <c r="AQ68" i="3"/>
  <c r="AQ76" i="3"/>
  <c r="AQ82" i="3"/>
  <c r="AQ87" i="3"/>
  <c r="AW87" i="3" s="1"/>
  <c r="AQ92" i="3"/>
  <c r="AQ98" i="3"/>
  <c r="AW98" i="3" s="1"/>
  <c r="AQ103" i="3"/>
  <c r="AP8" i="3"/>
  <c r="AP14" i="3"/>
  <c r="AP19" i="3"/>
  <c r="AP24" i="3"/>
  <c r="AP30" i="3"/>
  <c r="AP35" i="3"/>
  <c r="AP40" i="3"/>
  <c r="AP46" i="3"/>
  <c r="AP51" i="3"/>
  <c r="AP56" i="3"/>
  <c r="AP62" i="3"/>
  <c r="AP66" i="3"/>
  <c r="AP70" i="3"/>
  <c r="AP74" i="3"/>
  <c r="AP78" i="3"/>
  <c r="AP82" i="3"/>
  <c r="AU82" i="3" s="1"/>
  <c r="AP86" i="3"/>
  <c r="AP90" i="3"/>
  <c r="AP94" i="3"/>
  <c r="AP98" i="3"/>
  <c r="AP102" i="3"/>
  <c r="AR11" i="3"/>
  <c r="AR27" i="3"/>
  <c r="AR43" i="3"/>
  <c r="AR59" i="3"/>
  <c r="AR75" i="3"/>
  <c r="AR91" i="3"/>
  <c r="AY91" i="3" s="1"/>
  <c r="AQ7" i="3"/>
  <c r="AW7" i="3" s="1"/>
  <c r="AQ23" i="3"/>
  <c r="AW23" i="3" s="1"/>
  <c r="AQ39" i="3"/>
  <c r="AQ55" i="3"/>
  <c r="AW55" i="3" s="1"/>
  <c r="AQ71" i="3"/>
  <c r="AQ83" i="3"/>
  <c r="AQ94" i="3"/>
  <c r="AQ104" i="3"/>
  <c r="AP15" i="3"/>
  <c r="AP26" i="3"/>
  <c r="AP36" i="3"/>
  <c r="AP47" i="3"/>
  <c r="AP58" i="3"/>
  <c r="AP67" i="3"/>
  <c r="AP75" i="3"/>
  <c r="AP83" i="3"/>
  <c r="AP91" i="3"/>
  <c r="AP99" i="3"/>
  <c r="AR12" i="3"/>
  <c r="AR28" i="3"/>
  <c r="AY28" i="3" s="1"/>
  <c r="AR44" i="3"/>
  <c r="AR60" i="3"/>
  <c r="AY60" i="3" s="1"/>
  <c r="AR76" i="3"/>
  <c r="AR92" i="3"/>
  <c r="AY92" i="3" s="1"/>
  <c r="AQ8" i="3"/>
  <c r="AW8" i="3" s="1"/>
  <c r="AQ24" i="3"/>
  <c r="AW24" i="3" s="1"/>
  <c r="AQ40" i="3"/>
  <c r="AW40" i="3" s="1"/>
  <c r="AQ56" i="3"/>
  <c r="AQ72" i="3"/>
  <c r="AQ84" i="3"/>
  <c r="AQ95" i="3"/>
  <c r="AP6" i="3"/>
  <c r="AP16" i="3"/>
  <c r="AP27" i="3"/>
  <c r="AU27" i="3" s="1"/>
  <c r="AP38" i="3"/>
  <c r="AP48" i="3"/>
  <c r="AP59" i="3"/>
  <c r="AP68" i="3"/>
  <c r="AP76" i="3"/>
  <c r="AP84" i="3"/>
  <c r="AP92" i="3"/>
  <c r="AP100" i="3"/>
  <c r="AR19" i="3"/>
  <c r="AR35" i="3"/>
  <c r="AR51" i="3"/>
  <c r="AR67" i="3"/>
  <c r="AR83" i="3"/>
  <c r="AR99" i="3"/>
  <c r="AQ15" i="3"/>
  <c r="AR20" i="3"/>
  <c r="AR84" i="3"/>
  <c r="AQ32" i="3"/>
  <c r="AQ64" i="3"/>
  <c r="AQ90" i="3"/>
  <c r="AP11" i="3"/>
  <c r="AP32" i="3"/>
  <c r="AP54" i="3"/>
  <c r="AP72" i="3"/>
  <c r="AP88" i="3"/>
  <c r="AP104" i="3"/>
  <c r="AR36" i="3"/>
  <c r="AR100" i="3"/>
  <c r="AQ47" i="3"/>
  <c r="AQ78" i="3"/>
  <c r="AW78" i="3" s="1"/>
  <c r="AQ99" i="3"/>
  <c r="AP20" i="3"/>
  <c r="AP42" i="3"/>
  <c r="AP63" i="3"/>
  <c r="AU63" i="3" s="1"/>
  <c r="AP79" i="3"/>
  <c r="AP95" i="3"/>
  <c r="AR52" i="3"/>
  <c r="AQ16" i="3"/>
  <c r="AQ48" i="3"/>
  <c r="AW48" i="3" s="1"/>
  <c r="AQ79" i="3"/>
  <c r="AQ100" i="3"/>
  <c r="AP22" i="3"/>
  <c r="AP43" i="3"/>
  <c r="AP64" i="3"/>
  <c r="AP80" i="3"/>
  <c r="AP96" i="3"/>
  <c r="AR68" i="3"/>
  <c r="AQ31" i="3"/>
  <c r="AQ63" i="3"/>
  <c r="AQ88" i="3"/>
  <c r="AP10" i="3"/>
  <c r="AP31" i="3"/>
  <c r="AU31" i="3" s="1"/>
  <c r="AP52" i="3"/>
  <c r="AP71" i="3"/>
  <c r="AP87" i="3"/>
  <c r="AP103" i="3"/>
  <c r="AU103" i="3" s="1"/>
  <c r="AU87" i="3" l="1"/>
  <c r="AU10" i="3"/>
  <c r="AW99" i="3"/>
  <c r="AU54" i="3"/>
  <c r="AW82" i="3"/>
  <c r="AY88" i="3"/>
  <c r="AY24" i="3"/>
  <c r="AU23" i="3"/>
  <c r="AU52" i="3"/>
  <c r="AY76" i="3"/>
  <c r="AY75" i="3"/>
  <c r="AY11" i="3"/>
  <c r="AU55" i="3"/>
  <c r="AW46" i="3"/>
  <c r="AW14" i="3"/>
  <c r="AU61" i="3"/>
  <c r="AU45" i="3"/>
  <c r="AU29" i="3"/>
  <c r="AU13" i="3"/>
  <c r="AY53" i="3"/>
  <c r="AW52" i="3"/>
  <c r="AW20" i="3"/>
  <c r="AU32" i="3"/>
  <c r="AU39" i="3"/>
  <c r="AW75" i="3"/>
  <c r="AW43" i="3"/>
  <c r="AY79" i="3"/>
  <c r="AY47" i="3"/>
  <c r="AY15" i="3"/>
  <c r="AW34" i="3"/>
  <c r="AY102" i="3"/>
  <c r="AY86" i="3"/>
  <c r="AY70" i="3"/>
  <c r="AY54" i="3"/>
  <c r="AY38" i="3"/>
  <c r="AY22" i="3"/>
  <c r="AY6" i="3"/>
  <c r="AW100" i="3"/>
  <c r="AY52" i="3"/>
  <c r="AY84" i="3"/>
  <c r="AW94" i="3"/>
  <c r="AU90" i="3"/>
  <c r="AW68" i="3"/>
  <c r="AW36" i="3"/>
  <c r="AY104" i="3"/>
  <c r="AU89" i="3"/>
  <c r="AU73" i="3"/>
  <c r="AW90" i="3"/>
  <c r="AY20" i="3"/>
  <c r="AW84" i="3"/>
  <c r="AU26" i="3"/>
  <c r="AU86" i="3"/>
  <c r="AY96" i="3"/>
  <c r="AY32" i="3"/>
  <c r="AU57" i="3"/>
  <c r="AU41" i="3"/>
  <c r="AU25" i="3"/>
  <c r="AW93" i="3"/>
  <c r="AW61" i="3"/>
  <c r="AW29" i="3"/>
  <c r="AW13" i="3"/>
  <c r="AU9" i="3"/>
  <c r="AT5" i="3"/>
  <c r="AU5" i="3" s="1"/>
  <c r="AY61" i="3"/>
  <c r="AY59" i="3"/>
  <c r="AU74" i="3"/>
  <c r="AU12" i="3"/>
  <c r="AW30" i="3"/>
  <c r="AW97" i="3"/>
  <c r="AY69" i="3"/>
  <c r="AU28" i="3"/>
  <c r="AY95" i="3"/>
  <c r="AY33" i="3"/>
  <c r="AU48" i="3"/>
  <c r="AU83" i="3"/>
  <c r="AW80" i="3"/>
  <c r="AY12" i="3"/>
  <c r="AW39" i="3"/>
  <c r="AU18" i="3"/>
  <c r="AW96" i="3"/>
  <c r="AW11" i="3"/>
  <c r="AU64" i="3"/>
  <c r="AU20" i="3"/>
  <c r="AU70" i="3"/>
  <c r="AY83" i="3"/>
  <c r="AW79" i="3"/>
  <c r="AU72" i="3"/>
  <c r="AU68" i="3"/>
  <c r="AU67" i="3"/>
  <c r="AU102" i="3"/>
  <c r="AW60" i="3"/>
  <c r="AY68" i="3"/>
  <c r="AY36" i="3"/>
  <c r="AW15" i="3"/>
  <c r="AY51" i="3"/>
  <c r="AW72" i="3"/>
  <c r="AU58" i="3"/>
  <c r="AW71" i="3"/>
  <c r="AU46" i="3"/>
  <c r="AW103" i="3"/>
  <c r="AY56" i="3"/>
  <c r="AU7" i="3"/>
  <c r="AW27" i="3"/>
  <c r="AY31" i="3"/>
  <c r="AW58" i="3"/>
  <c r="AW42" i="3"/>
  <c r="AW10" i="3"/>
  <c r="AY94" i="3"/>
  <c r="AY78" i="3"/>
  <c r="AY62" i="3"/>
  <c r="AY46" i="3"/>
  <c r="AY30" i="3"/>
  <c r="AY14" i="3"/>
  <c r="AW77" i="3"/>
  <c r="AY81" i="3"/>
  <c r="AW31" i="3"/>
  <c r="AU95" i="3"/>
  <c r="AU51" i="3"/>
  <c r="AW28" i="3"/>
  <c r="AW81" i="3"/>
  <c r="AY85" i="3"/>
  <c r="AU71" i="3"/>
  <c r="AW88" i="3"/>
  <c r="AU96" i="3"/>
  <c r="AY99" i="3"/>
  <c r="AY35" i="3"/>
  <c r="AU84" i="3"/>
  <c r="AW104" i="3"/>
  <c r="AU44" i="3"/>
  <c r="AW54" i="3"/>
  <c r="AW6" i="3"/>
  <c r="AY90" i="3"/>
  <c r="AY74" i="3"/>
  <c r="AY58" i="3"/>
  <c r="AY42" i="3"/>
  <c r="AY26" i="3"/>
  <c r="AY10" i="3"/>
  <c r="AW57" i="3"/>
  <c r="AY77" i="3"/>
  <c r="AY13" i="3"/>
  <c r="AU66" i="3"/>
  <c r="AW59" i="3"/>
  <c r="AU22" i="3"/>
  <c r="AW16" i="3"/>
  <c r="AW32" i="3"/>
  <c r="AW56" i="3"/>
  <c r="AU94" i="3"/>
  <c r="AU78" i="3"/>
  <c r="AU19" i="3"/>
  <c r="AW76" i="3"/>
  <c r="AW44" i="3"/>
  <c r="AW12" i="3"/>
  <c r="AY48" i="3"/>
  <c r="AU97" i="3"/>
  <c r="AU81" i="3"/>
  <c r="AU65" i="3"/>
  <c r="AW102" i="3"/>
  <c r="AW19" i="3"/>
  <c r="AY87" i="3"/>
  <c r="AY55" i="3"/>
  <c r="AY23" i="3"/>
  <c r="AW38" i="3"/>
  <c r="AW5" i="3"/>
  <c r="AW73" i="3"/>
  <c r="AW47" i="3"/>
  <c r="AU88" i="3"/>
  <c r="AU11" i="3"/>
  <c r="AY19" i="3"/>
  <c r="AU76" i="3"/>
  <c r="AW92" i="3"/>
  <c r="AY72" i="3"/>
  <c r="AY40" i="3"/>
  <c r="AY8" i="3"/>
  <c r="AW91" i="3"/>
  <c r="AY103" i="3"/>
  <c r="AY71" i="3"/>
  <c r="AY39" i="3"/>
  <c r="AY7" i="3"/>
  <c r="AW49" i="3"/>
  <c r="AW33" i="3"/>
  <c r="AW17" i="3"/>
  <c r="AY21" i="3"/>
  <c r="AW95" i="3"/>
  <c r="AU75" i="3"/>
  <c r="AU56" i="3"/>
  <c r="AW50" i="3"/>
  <c r="AU49" i="3"/>
  <c r="AU33" i="3"/>
  <c r="AU17" i="3"/>
  <c r="AW101" i="3"/>
  <c r="AW85" i="3"/>
  <c r="AW69" i="3"/>
  <c r="AW53" i="3"/>
  <c r="AW37" i="3"/>
  <c r="AW21" i="3"/>
  <c r="AY57" i="3"/>
  <c r="AY41" i="3"/>
  <c r="AY9" i="3"/>
  <c r="AY101" i="3"/>
  <c r="AU43" i="3"/>
  <c r="AY43" i="3"/>
  <c r="AU98" i="3"/>
  <c r="AU24" i="3"/>
  <c r="AY97" i="3"/>
  <c r="AY65" i="3"/>
  <c r="AY49" i="3"/>
  <c r="AY17" i="3"/>
  <c r="AY100" i="3"/>
  <c r="AU8" i="3"/>
  <c r="AU6" i="3"/>
  <c r="AU47" i="3"/>
  <c r="AW51" i="3"/>
  <c r="AW89" i="3"/>
  <c r="AY93" i="3"/>
  <c r="AY29" i="3"/>
  <c r="AU104" i="3"/>
  <c r="AY27" i="3"/>
  <c r="AU62" i="3"/>
  <c r="AU40" i="3"/>
  <c r="AW70" i="3"/>
  <c r="AY45" i="3"/>
  <c r="AW63" i="3"/>
  <c r="AU38" i="3"/>
  <c r="AU36" i="3"/>
  <c r="AU35" i="3"/>
  <c r="AU14" i="3"/>
  <c r="AU60" i="3"/>
  <c r="AU79" i="3"/>
  <c r="AU80" i="3"/>
  <c r="AU42" i="3"/>
  <c r="AY67" i="3"/>
  <c r="AU100" i="3"/>
  <c r="AU99" i="3"/>
  <c r="AW83" i="3"/>
  <c r="AU30" i="3"/>
  <c r="AU34" i="3"/>
  <c r="AW67" i="3"/>
  <c r="AW62" i="3"/>
  <c r="AW65" i="3"/>
  <c r="AY37" i="3"/>
  <c r="AW64" i="3"/>
  <c r="AU92" i="3"/>
  <c r="AU59" i="3"/>
  <c r="AU16" i="3"/>
  <c r="AY44" i="3"/>
  <c r="AU91" i="3"/>
  <c r="AU15" i="3"/>
  <c r="AU50" i="3"/>
  <c r="AY63" i="3"/>
  <c r="AW4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18441D2-B019-464E-9815-ED841D2586A0}" keepAlive="1" name="Query - ENPH" description="Connection to the 'ENPH' query in the workbook." type="5" refreshedVersion="7" background="1" saveData="1">
    <dbPr connection="Provider=Microsoft.Mashup.OleDb.1;Data Source=$Workbook$;Location=ENPH;Extended Properties=&quot;&quot;" command="SELECT * FROM [ENPH]"/>
  </connection>
  <connection id="2" xr16:uid="{D69709FB-D68D-4ADC-B4A2-AEF60A751EC5}" keepAlive="1" name="Query - SEDG" description="Connection to the 'SEDG' query in the workbook." type="5" refreshedVersion="0" background="1">
    <dbPr connection="Provider=Microsoft.Mashup.OleDb.1;Data Source=$Workbook$;Location=SEDG;Extended Properties=&quot;&quot;" command="SELECT * FROM [SEDG]"/>
  </connection>
  <connection id="3" xr16:uid="{27EF7D65-D68C-425C-9A1D-57A69E11A0FC}" keepAlive="1" name="Query - SEDG (2)" description="Connection to the 'SEDG (2)' query in the workbook." type="5" refreshedVersion="7" background="1" saveData="1">
    <dbPr connection="Provider=Microsoft.Mashup.OleDb.1;Data Source=$Workbook$;Location=&quot;SEDG (2)&quot;;Extended Properties=&quot;&quot;" command="SELECT * FROM [SEDG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<sst xmlns="http://schemas.openxmlformats.org/spreadsheetml/2006/main" count="196" uniqueCount="119">
  <si>
    <t>Date</t>
  </si>
  <si>
    <t>Open</t>
  </si>
  <si>
    <t>High</t>
  </si>
  <si>
    <t>Low</t>
  </si>
  <si>
    <t>Close</t>
  </si>
  <si>
    <t>Adj Close</t>
  </si>
  <si>
    <t>Volume</t>
  </si>
  <si>
    <t xml:space="preserve">Daily returns </t>
  </si>
  <si>
    <t>Enphase Energy, Inc. (ENPH)</t>
  </si>
  <si>
    <t>SolarEdge Technologies, Inc. (SEDG)</t>
  </si>
  <si>
    <t>S = 254.41 USD at 28/04/2022</t>
  </si>
  <si>
    <t>S = 164.47 USD At 28/04/2022</t>
  </si>
  <si>
    <t xml:space="preserve">Average = </t>
  </si>
  <si>
    <t xml:space="preserve">Average </t>
  </si>
  <si>
    <t>std</t>
  </si>
  <si>
    <t>cor_A_B_direct</t>
  </si>
  <si>
    <t>shares_A</t>
  </si>
  <si>
    <t>shares_B</t>
  </si>
  <si>
    <t>1 million USD</t>
  </si>
  <si>
    <t>PF_value</t>
  </si>
  <si>
    <t>check</t>
  </si>
  <si>
    <t>wealth_A</t>
  </si>
  <si>
    <t>wealth_B</t>
  </si>
  <si>
    <t>wealth_tot</t>
  </si>
  <si>
    <t>Checking if the PF is equibalanced</t>
  </si>
  <si>
    <t>Constructing daily moves of PF</t>
  </si>
  <si>
    <t>Asset A</t>
  </si>
  <si>
    <t>Asset B</t>
  </si>
  <si>
    <t xml:space="preserve">initial wealth = </t>
  </si>
  <si>
    <t xml:space="preserve">vol_PF = </t>
  </si>
  <si>
    <t>PF_returns</t>
  </si>
  <si>
    <t>vol_yearly</t>
  </si>
  <si>
    <t xml:space="preserve">vol_PF_yearly = </t>
  </si>
  <si>
    <t xml:space="preserve">1-day change in asset A = </t>
  </si>
  <si>
    <t xml:space="preserve">1-day change in asset B = </t>
  </si>
  <si>
    <t>Parametric VaR of Asset A</t>
  </si>
  <si>
    <t>T\probab</t>
  </si>
  <si>
    <t>T\prob</t>
  </si>
  <si>
    <t>Parametric Var of Asset B</t>
  </si>
  <si>
    <t>1- day change in PF with correlation</t>
  </si>
  <si>
    <t>1-d change in PF (no cor)</t>
  </si>
  <si>
    <t xml:space="preserve">Parametric VaR of Global Portolio </t>
  </si>
  <si>
    <t>?=95_VaR_PF</t>
  </si>
  <si>
    <t>99_VaR_AB</t>
  </si>
  <si>
    <t>95_VaR_AB</t>
  </si>
  <si>
    <t>?=99_VaR_PF</t>
  </si>
  <si>
    <t>99.5_VaR_AB</t>
  </si>
  <si>
    <t>?=99.5_VaR_PF</t>
  </si>
  <si>
    <t>Check additivity of VaR for single assets and global PF</t>
  </si>
  <si>
    <t>day</t>
  </si>
  <si>
    <t xml:space="preserve">Lambda </t>
  </si>
  <si>
    <t>return_weighted_A</t>
  </si>
  <si>
    <t>ret_weighted_B</t>
  </si>
  <si>
    <t>return_weighted_PF</t>
  </si>
  <si>
    <t>std_A_EWMA</t>
  </si>
  <si>
    <t>std_B_EWMA</t>
  </si>
  <si>
    <t>std_PF_EWMA</t>
  </si>
  <si>
    <t>1-day change in asset B</t>
  </si>
  <si>
    <t>1-day change in PF</t>
  </si>
  <si>
    <t>1-day change in asset A</t>
  </si>
  <si>
    <t>VaR Asset A, sigma estimated by EWMA</t>
  </si>
  <si>
    <t>VaR asset B, sigma estim. By EWMA</t>
  </si>
  <si>
    <t>t\ prob</t>
  </si>
  <si>
    <t>VaR global PF, sigma estim. By EWMA</t>
  </si>
  <si>
    <t>T\ prob</t>
  </si>
  <si>
    <t>Check Additivity of this method</t>
  </si>
  <si>
    <t>Monte Carlo VaR Asset A</t>
  </si>
  <si>
    <t>confidence</t>
  </si>
  <si>
    <t>horizon T</t>
  </si>
  <si>
    <t>riskfree rate</t>
  </si>
  <si>
    <t>StDiv</t>
  </si>
  <si>
    <t>StockVal</t>
  </si>
  <si>
    <t xml:space="preserve">Asset A Daily returns </t>
  </si>
  <si>
    <t xml:space="preserve">Asset B Daily returns </t>
  </si>
  <si>
    <t>Ranked Returns</t>
  </si>
  <si>
    <t>p</t>
  </si>
  <si>
    <t>count</t>
  </si>
  <si>
    <t>location</t>
  </si>
  <si>
    <t>rank</t>
  </si>
  <si>
    <t>VaR(p)</t>
  </si>
  <si>
    <t xml:space="preserve">location </t>
  </si>
  <si>
    <t>Historical Value at Risk</t>
  </si>
  <si>
    <t>VaR(99%)</t>
  </si>
  <si>
    <t>VaR(95%)</t>
  </si>
  <si>
    <t>VaR(99.5%)</t>
  </si>
  <si>
    <t>MC VaR Asset B</t>
  </si>
  <si>
    <t>MC VaR Portfolio</t>
  </si>
  <si>
    <t>Monte Carlo Simulation Value at Risk</t>
  </si>
  <si>
    <t>with 500000 USD</t>
  </si>
  <si>
    <t>with 500 000 USD</t>
  </si>
  <si>
    <t>with 1 mil</t>
  </si>
  <si>
    <t>N</t>
  </si>
  <si>
    <t>ENPH Returns</t>
  </si>
  <si>
    <t xml:space="preserve">SEDG Returns </t>
  </si>
  <si>
    <t>Portfolio Returns</t>
  </si>
  <si>
    <t>ENPH</t>
  </si>
  <si>
    <t>SEDG</t>
  </si>
  <si>
    <t>Portfolio</t>
  </si>
  <si>
    <t>average</t>
  </si>
  <si>
    <t>yearly vol</t>
  </si>
  <si>
    <t xml:space="preserve">avg_PF = </t>
  </si>
  <si>
    <t>correlation_assets</t>
  </si>
  <si>
    <t>ENPH 0.95</t>
  </si>
  <si>
    <t>ENPH 0.99</t>
  </si>
  <si>
    <t>ENPH 0.995</t>
  </si>
  <si>
    <t>SEDG 0.95</t>
  </si>
  <si>
    <t>SEDG 0.99</t>
  </si>
  <si>
    <t>SEDG 0.995</t>
  </si>
  <si>
    <t>PF 0.95</t>
  </si>
  <si>
    <t>PF 0.99</t>
  </si>
  <si>
    <t>PF 0.995</t>
  </si>
  <si>
    <t>INSTEAD TRY:</t>
  </si>
  <si>
    <t>Var(p) =</t>
  </si>
  <si>
    <t xml:space="preserve">INSTEAD: </t>
  </si>
  <si>
    <t>Var_loss</t>
  </si>
  <si>
    <t xml:space="preserve">INSTEAD </t>
  </si>
  <si>
    <t>INSTEAD</t>
  </si>
  <si>
    <t xml:space="preserve">INSTEAD USE </t>
  </si>
  <si>
    <t>Historical Simulation Value at 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</si>
</sst>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4" fontId="0" fillId="0" borderId="0" xfId="0" applyNumberFormat="1"/>
    <xf numFmtId="9" fontId="0" fillId="0" borderId="0" xfId="0" applyNumberFormat="1"/>
    <xf numFmtId="10" fontId="0" fillId="0" borderId="0" xfId="0" applyNumberFormat="1"/>
    <xf numFmtId="0" fontId="0" fillId="0" borderId="4" xfId="0" applyBorder="1"/>
    <xf numFmtId="0" fontId="0" fillId="0" borderId="0" xfId="0" applyFill="1" applyBorder="1"/>
    <xf numFmtId="0" fontId="0" fillId="3" borderId="0" xfId="0" applyFill="1"/>
    <xf numFmtId="0" fontId="1" fillId="4" borderId="5" xfId="0" applyFont="1" applyFill="1" applyBorder="1"/>
    <xf numFmtId="14" fontId="0" fillId="5" borderId="5" xfId="0" applyNumberFormat="1" applyFont="1" applyFill="1" applyBorder="1"/>
    <xf numFmtId="14" fontId="0" fillId="0" borderId="5" xfId="0" applyNumberFormat="1" applyFont="1" applyBorder="1"/>
    <xf numFmtId="0" fontId="0" fillId="0" borderId="0" xfId="0" applyBorder="1"/>
    <xf numFmtId="9" fontId="0" fillId="0" borderId="4" xfId="0" applyNumberFormat="1" applyBorder="1"/>
    <xf numFmtId="10" fontId="0" fillId="0" borderId="4" xfId="0" applyNumberFormat="1" applyBorder="1"/>
    <xf numFmtId="0" fontId="0" fillId="0" borderId="6" xfId="0" applyBorder="1"/>
    <xf numFmtId="0" fontId="0" fillId="0" borderId="7" xfId="0" applyBorder="1"/>
    <xf numFmtId="0" fontId="0" fillId="0" borderId="7" xfId="0" applyNumberFormat="1" applyBorder="1"/>
    <xf numFmtId="0" fontId="0" fillId="2" borderId="4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9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4">
    <dxf>
      <numFmt numFmtId="0" formatCode="General"/>
    </dxf>
    <dxf>
      <numFmt numFmtId="19" formatCode="mm/dd/yyyy"/>
    </dxf>
    <dxf>
      <numFmt numFmtId="0" formatCode="General"/>
    </dxf>
    <dxf>
      <numFmt numFmtId="19" formatCode="mm/dd/yyyy"/>
    </dxf>
  </dxfs>
  <tableStyles count="0" defaultTableStyle="TableStyleMedium2" defaultPivotStyle="PivotStyleLight16"/>
  <colors>
    <mruColors>
      <color rgb="FFF65E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Monte Carlo Simulation Value at Risk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54335562219294"/>
          <c:y val="0.10390696834772527"/>
          <c:w val="0.76490644551396714"/>
          <c:h val="0.78490214882287412"/>
        </c:manualLayout>
      </c:layout>
      <c:lineChart>
        <c:grouping val="standard"/>
        <c:varyColors val="0"/>
        <c:ser>
          <c:idx val="0"/>
          <c:order val="0"/>
          <c:tx>
            <c:strRef>
              <c:f>'Solutions and last graphs'!$B$146</c:f>
              <c:strCache>
                <c:ptCount val="1"/>
                <c:pt idx="0">
                  <c:v>ENPH 0.95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'Solutions and last graphs'!$A$147:$A$246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'Solutions and last graphs'!$B$147:$B$246</c:f>
              <c:numCache>
                <c:formatCode>General</c:formatCode>
                <c:ptCount val="100"/>
                <c:pt idx="0">
                  <c:v>381300.55315040215</c:v>
                </c:pt>
                <c:pt idx="1">
                  <c:v>535630.50315523345</c:v>
                </c:pt>
                <c:pt idx="2">
                  <c:v>643284.47711002175</c:v>
                </c:pt>
                <c:pt idx="3">
                  <c:v>765949.28490699769</c:v>
                </c:pt>
                <c:pt idx="4">
                  <c:v>843282.11254006834</c:v>
                </c:pt>
                <c:pt idx="5">
                  <c:v>913382.71498437424</c:v>
                </c:pt>
                <c:pt idx="6">
                  <c:v>994387.14962787414</c:v>
                </c:pt>
                <c:pt idx="7">
                  <c:v>1069436.4420221937</c:v>
                </c:pt>
                <c:pt idx="8">
                  <c:v>1126978.835338121</c:v>
                </c:pt>
                <c:pt idx="9">
                  <c:v>1193265.0397524035</c:v>
                </c:pt>
                <c:pt idx="10">
                  <c:v>1277389.6374527402</c:v>
                </c:pt>
                <c:pt idx="11">
                  <c:v>1322564.5485494048</c:v>
                </c:pt>
                <c:pt idx="12">
                  <c:v>1309162.1862781339</c:v>
                </c:pt>
                <c:pt idx="13">
                  <c:v>1384501.7910935706</c:v>
                </c:pt>
                <c:pt idx="14">
                  <c:v>1456704.8456324621</c:v>
                </c:pt>
                <c:pt idx="15">
                  <c:v>1507105.8099482681</c:v>
                </c:pt>
                <c:pt idx="16">
                  <c:v>1581982.7548448564</c:v>
                </c:pt>
                <c:pt idx="17">
                  <c:v>1596236.0062786932</c:v>
                </c:pt>
                <c:pt idx="18">
                  <c:v>1641387.7538194649</c:v>
                </c:pt>
                <c:pt idx="19">
                  <c:v>1699622.6747276094</c:v>
                </c:pt>
                <c:pt idx="20">
                  <c:v>1697935.1707055096</c:v>
                </c:pt>
                <c:pt idx="21">
                  <c:v>1728893.5070207184</c:v>
                </c:pt>
                <c:pt idx="22">
                  <c:v>1801881.339248664</c:v>
                </c:pt>
                <c:pt idx="23">
                  <c:v>1890151.0964619382</c:v>
                </c:pt>
                <c:pt idx="24">
                  <c:v>1896687.1200421802</c:v>
                </c:pt>
                <c:pt idx="25">
                  <c:v>1924168.0072948581</c:v>
                </c:pt>
                <c:pt idx="26">
                  <c:v>1934851.6516574628</c:v>
                </c:pt>
                <c:pt idx="27">
                  <c:v>2007793.7456029619</c:v>
                </c:pt>
                <c:pt idx="28">
                  <c:v>1973513.2603624752</c:v>
                </c:pt>
                <c:pt idx="29">
                  <c:v>2060827.5736507867</c:v>
                </c:pt>
                <c:pt idx="30">
                  <c:v>2043348.9824874634</c:v>
                </c:pt>
                <c:pt idx="31">
                  <c:v>2097336.3328415845</c:v>
                </c:pt>
                <c:pt idx="32">
                  <c:v>2198752.8257606006</c:v>
                </c:pt>
                <c:pt idx="33">
                  <c:v>2191584.61349269</c:v>
                </c:pt>
                <c:pt idx="34">
                  <c:v>2248262.9155741376</c:v>
                </c:pt>
                <c:pt idx="35">
                  <c:v>2269165.5888189715</c:v>
                </c:pt>
                <c:pt idx="36">
                  <c:v>2252467.8114360329</c:v>
                </c:pt>
                <c:pt idx="37">
                  <c:v>2374549.7755708224</c:v>
                </c:pt>
                <c:pt idx="38">
                  <c:v>2390590.1894551017</c:v>
                </c:pt>
                <c:pt idx="39">
                  <c:v>2363129.7527292855</c:v>
                </c:pt>
                <c:pt idx="40">
                  <c:v>2393940.705553568</c:v>
                </c:pt>
                <c:pt idx="41">
                  <c:v>2429870.0239959061</c:v>
                </c:pt>
                <c:pt idx="42">
                  <c:v>2439158.1363366577</c:v>
                </c:pt>
                <c:pt idx="43">
                  <c:v>2496274.2528787316</c:v>
                </c:pt>
                <c:pt idx="44">
                  <c:v>2588506.6263636854</c:v>
                </c:pt>
                <c:pt idx="45">
                  <c:v>2584331.0843754387</c:v>
                </c:pt>
                <c:pt idx="46">
                  <c:v>2585197.385388067</c:v>
                </c:pt>
                <c:pt idx="47">
                  <c:v>2650508.7254139637</c:v>
                </c:pt>
                <c:pt idx="48">
                  <c:v>2679513.7360518421</c:v>
                </c:pt>
                <c:pt idx="49">
                  <c:v>2647115.6567503149</c:v>
                </c:pt>
                <c:pt idx="50">
                  <c:v>2719957.2570076529</c:v>
                </c:pt>
                <c:pt idx="51">
                  <c:v>2742827.3871832313</c:v>
                </c:pt>
                <c:pt idx="52">
                  <c:v>2735919.1960392771</c:v>
                </c:pt>
                <c:pt idx="53">
                  <c:v>2750391.4445096282</c:v>
                </c:pt>
                <c:pt idx="54">
                  <c:v>2782655.5848200452</c:v>
                </c:pt>
                <c:pt idx="55">
                  <c:v>2885173.400235421</c:v>
                </c:pt>
                <c:pt idx="56">
                  <c:v>2847439.7779582455</c:v>
                </c:pt>
                <c:pt idx="57">
                  <c:v>2871865.9591156831</c:v>
                </c:pt>
                <c:pt idx="58">
                  <c:v>2889771.9402095005</c:v>
                </c:pt>
                <c:pt idx="59">
                  <c:v>2923982.66218975</c:v>
                </c:pt>
                <c:pt idx="60">
                  <c:v>2971814.6248871447</c:v>
                </c:pt>
                <c:pt idx="61">
                  <c:v>2913785.8916471661</c:v>
                </c:pt>
                <c:pt idx="62">
                  <c:v>2901639.8487941418</c:v>
                </c:pt>
                <c:pt idx="63">
                  <c:v>3055446.7902482161</c:v>
                </c:pt>
                <c:pt idx="64">
                  <c:v>3011611.9761294466</c:v>
                </c:pt>
                <c:pt idx="65">
                  <c:v>3117347.1877357317</c:v>
                </c:pt>
                <c:pt idx="66">
                  <c:v>3090910.2330593383</c:v>
                </c:pt>
                <c:pt idx="67">
                  <c:v>3060340.4260207</c:v>
                </c:pt>
                <c:pt idx="68">
                  <c:v>3124327.1853522789</c:v>
                </c:pt>
                <c:pt idx="69">
                  <c:v>3115139.2342570145</c:v>
                </c:pt>
                <c:pt idx="70">
                  <c:v>3184577.6911918591</c:v>
                </c:pt>
                <c:pt idx="71">
                  <c:v>3243991.0631938707</c:v>
                </c:pt>
                <c:pt idx="72">
                  <c:v>3217955.6057548267</c:v>
                </c:pt>
                <c:pt idx="73">
                  <c:v>3264046.0094245058</c:v>
                </c:pt>
                <c:pt idx="74">
                  <c:v>3314339.917799022</c:v>
                </c:pt>
                <c:pt idx="75">
                  <c:v>3230200.4794185893</c:v>
                </c:pt>
                <c:pt idx="76">
                  <c:v>3369320.9404989071</c:v>
                </c:pt>
                <c:pt idx="77">
                  <c:v>3311010.0997523121</c:v>
                </c:pt>
                <c:pt idx="78">
                  <c:v>3418673.2342318092</c:v>
                </c:pt>
                <c:pt idx="79">
                  <c:v>3399372.6403333265</c:v>
                </c:pt>
                <c:pt idx="80">
                  <c:v>3400608.6784206624</c:v>
                </c:pt>
                <c:pt idx="81">
                  <c:v>3412860.6987032522</c:v>
                </c:pt>
                <c:pt idx="82">
                  <c:v>3448030.1018478889</c:v>
                </c:pt>
                <c:pt idx="83">
                  <c:v>3472240.0926451012</c:v>
                </c:pt>
                <c:pt idx="84">
                  <c:v>3498798.2664218256</c:v>
                </c:pt>
                <c:pt idx="85">
                  <c:v>3520620.7186524239</c:v>
                </c:pt>
                <c:pt idx="86">
                  <c:v>3554945.2436363529</c:v>
                </c:pt>
                <c:pt idx="87">
                  <c:v>3517161.5464926921</c:v>
                </c:pt>
                <c:pt idx="88">
                  <c:v>3565466.1757026077</c:v>
                </c:pt>
                <c:pt idx="89">
                  <c:v>3624331.3708873531</c:v>
                </c:pt>
                <c:pt idx="90">
                  <c:v>3656244.054550603</c:v>
                </c:pt>
                <c:pt idx="91">
                  <c:v>3601414.7618246814</c:v>
                </c:pt>
                <c:pt idx="92">
                  <c:v>3637503.3807265717</c:v>
                </c:pt>
                <c:pt idx="93">
                  <c:v>3590168.4979701387</c:v>
                </c:pt>
                <c:pt idx="94">
                  <c:v>3725882.9436317962</c:v>
                </c:pt>
                <c:pt idx="95">
                  <c:v>3659366.5586720253</c:v>
                </c:pt>
                <c:pt idx="96">
                  <c:v>3715912.9413589411</c:v>
                </c:pt>
                <c:pt idx="97">
                  <c:v>3701387.2101948229</c:v>
                </c:pt>
                <c:pt idx="98">
                  <c:v>3875317.7998230457</c:v>
                </c:pt>
                <c:pt idx="99">
                  <c:v>3881462.656515344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0D-48CE-97A9-677BDA8DEDD5}"/>
            </c:ext>
          </c:extLst>
        </c:ser>
        <c:ser>
          <c:idx val="1"/>
          <c:order val="1"/>
          <c:tx>
            <c:strRef>
              <c:f>'Solutions and last graphs'!$C$146</c:f>
              <c:strCache>
                <c:ptCount val="1"/>
                <c:pt idx="0">
                  <c:v>ENPH 0.99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'Solutions and last graphs'!$A$147:$A$246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'Solutions and last graphs'!$C$147:$C$246</c:f>
              <c:numCache>
                <c:formatCode>General</c:formatCode>
                <c:ptCount val="100"/>
                <c:pt idx="0">
                  <c:v>421454.8982637485</c:v>
                </c:pt>
                <c:pt idx="1">
                  <c:v>618162.8777475527</c:v>
                </c:pt>
                <c:pt idx="2">
                  <c:v>731415.62364673242</c:v>
                </c:pt>
                <c:pt idx="3">
                  <c:v>835674.54216979048</c:v>
                </c:pt>
                <c:pt idx="4">
                  <c:v>946762.69146565581</c:v>
                </c:pt>
                <c:pt idx="5">
                  <c:v>1043766.4010274883</c:v>
                </c:pt>
                <c:pt idx="6">
                  <c:v>1106250.6135284209</c:v>
                </c:pt>
                <c:pt idx="7">
                  <c:v>1201759.8475992878</c:v>
                </c:pt>
                <c:pt idx="8">
                  <c:v>1283184.7148849033</c:v>
                </c:pt>
                <c:pt idx="9">
                  <c:v>1331696.0655358916</c:v>
                </c:pt>
                <c:pt idx="10">
                  <c:v>1395094.8841278376</c:v>
                </c:pt>
                <c:pt idx="11">
                  <c:v>1501644.7421093676</c:v>
                </c:pt>
                <c:pt idx="12">
                  <c:v>1499983.1983328173</c:v>
                </c:pt>
                <c:pt idx="13">
                  <c:v>1620602.5596877981</c:v>
                </c:pt>
                <c:pt idx="14">
                  <c:v>1680428.9314543656</c:v>
                </c:pt>
                <c:pt idx="15">
                  <c:v>1734691.6656762157</c:v>
                </c:pt>
                <c:pt idx="16">
                  <c:v>1762047.4053072291</c:v>
                </c:pt>
                <c:pt idx="17">
                  <c:v>1778903.8705940235</c:v>
                </c:pt>
                <c:pt idx="18">
                  <c:v>1832819.4079704403</c:v>
                </c:pt>
                <c:pt idx="19">
                  <c:v>1860745.8058943045</c:v>
                </c:pt>
                <c:pt idx="20">
                  <c:v>1956428.9068023299</c:v>
                </c:pt>
                <c:pt idx="21">
                  <c:v>2004351.1028400972</c:v>
                </c:pt>
                <c:pt idx="22">
                  <c:v>2039152.7394148253</c:v>
                </c:pt>
                <c:pt idx="23">
                  <c:v>2121555.3577995296</c:v>
                </c:pt>
                <c:pt idx="24">
                  <c:v>2176447.9800493685</c:v>
                </c:pt>
                <c:pt idx="25">
                  <c:v>2211213.7610781896</c:v>
                </c:pt>
                <c:pt idx="26">
                  <c:v>2218072.1178319212</c:v>
                </c:pt>
                <c:pt idx="27">
                  <c:v>2248303.0272118249</c:v>
                </c:pt>
                <c:pt idx="28">
                  <c:v>2222167.4640568434</c:v>
                </c:pt>
                <c:pt idx="29">
                  <c:v>2317964.5520069296</c:v>
                </c:pt>
                <c:pt idx="30">
                  <c:v>2351538.2972705439</c:v>
                </c:pt>
                <c:pt idx="31">
                  <c:v>2445203.686090637</c:v>
                </c:pt>
                <c:pt idx="32">
                  <c:v>2448811.6002234588</c:v>
                </c:pt>
                <c:pt idx="33">
                  <c:v>2489859.7347485754</c:v>
                </c:pt>
                <c:pt idx="34">
                  <c:v>2498875.819241202</c:v>
                </c:pt>
                <c:pt idx="35">
                  <c:v>2583528.7612387231</c:v>
                </c:pt>
                <c:pt idx="36">
                  <c:v>2591099.5794750783</c:v>
                </c:pt>
                <c:pt idx="37">
                  <c:v>2638054.8920112876</c:v>
                </c:pt>
                <c:pt idx="38">
                  <c:v>2625702.4861035496</c:v>
                </c:pt>
                <c:pt idx="39">
                  <c:v>2655849.5533198738</c:v>
                </c:pt>
                <c:pt idx="40">
                  <c:v>2664683.4135334846</c:v>
                </c:pt>
                <c:pt idx="41">
                  <c:v>2656289.9256136799</c:v>
                </c:pt>
                <c:pt idx="42">
                  <c:v>2759422.4549926827</c:v>
                </c:pt>
                <c:pt idx="43">
                  <c:v>2868622.6278413124</c:v>
                </c:pt>
                <c:pt idx="44">
                  <c:v>2899719.8175321608</c:v>
                </c:pt>
                <c:pt idx="45">
                  <c:v>2940980.7388446224</c:v>
                </c:pt>
                <c:pt idx="46">
                  <c:v>2875748.0549218752</c:v>
                </c:pt>
                <c:pt idx="47">
                  <c:v>2893267.9164362452</c:v>
                </c:pt>
                <c:pt idx="48">
                  <c:v>2968065.9334742529</c:v>
                </c:pt>
                <c:pt idx="49">
                  <c:v>2978914.5178464702</c:v>
                </c:pt>
                <c:pt idx="50">
                  <c:v>2990972.3299372778</c:v>
                </c:pt>
                <c:pt idx="51">
                  <c:v>3103137.1389572658</c:v>
                </c:pt>
                <c:pt idx="52">
                  <c:v>3073966.6666983729</c:v>
                </c:pt>
                <c:pt idx="53">
                  <c:v>3119871.1048531155</c:v>
                </c:pt>
                <c:pt idx="54">
                  <c:v>3224975.701549748</c:v>
                </c:pt>
                <c:pt idx="55">
                  <c:v>3246103.8082454139</c:v>
                </c:pt>
                <c:pt idx="56">
                  <c:v>3220045.0364887533</c:v>
                </c:pt>
                <c:pt idx="57">
                  <c:v>3230062.8444863143</c:v>
                </c:pt>
                <c:pt idx="58">
                  <c:v>3234304.3055412495</c:v>
                </c:pt>
                <c:pt idx="59">
                  <c:v>3329492.3298164895</c:v>
                </c:pt>
                <c:pt idx="60">
                  <c:v>3358360.4321102402</c:v>
                </c:pt>
                <c:pt idx="61">
                  <c:v>3388064.2157739359</c:v>
                </c:pt>
                <c:pt idx="62">
                  <c:v>3401985.8243966168</c:v>
                </c:pt>
                <c:pt idx="63">
                  <c:v>3364520.9199290369</c:v>
                </c:pt>
                <c:pt idx="64">
                  <c:v>3359274.6210809397</c:v>
                </c:pt>
                <c:pt idx="65">
                  <c:v>3510776.5164239104</c:v>
                </c:pt>
                <c:pt idx="66">
                  <c:v>3496098.4122476899</c:v>
                </c:pt>
                <c:pt idx="67">
                  <c:v>3513677.6028877483</c:v>
                </c:pt>
                <c:pt idx="68">
                  <c:v>3492748.0460775304</c:v>
                </c:pt>
                <c:pt idx="69">
                  <c:v>3449830.8024909939</c:v>
                </c:pt>
                <c:pt idx="70">
                  <c:v>3547083.729925558</c:v>
                </c:pt>
                <c:pt idx="71">
                  <c:v>3694145.5912780692</c:v>
                </c:pt>
                <c:pt idx="72">
                  <c:v>3569790.6589504238</c:v>
                </c:pt>
                <c:pt idx="73">
                  <c:v>3565962.6895707957</c:v>
                </c:pt>
                <c:pt idx="74">
                  <c:v>3752022.6287478521</c:v>
                </c:pt>
                <c:pt idx="75">
                  <c:v>3709321.856147734</c:v>
                </c:pt>
                <c:pt idx="76">
                  <c:v>3780233.1723510958</c:v>
                </c:pt>
                <c:pt idx="77">
                  <c:v>3715435.3797011459</c:v>
                </c:pt>
                <c:pt idx="78">
                  <c:v>3732306.2041044314</c:v>
                </c:pt>
                <c:pt idx="79">
                  <c:v>3770050.0334845362</c:v>
                </c:pt>
                <c:pt idx="80">
                  <c:v>3851802.0247719851</c:v>
                </c:pt>
                <c:pt idx="81">
                  <c:v>3881545.9645913895</c:v>
                </c:pt>
                <c:pt idx="82">
                  <c:v>3863246.2192821805</c:v>
                </c:pt>
                <c:pt idx="83">
                  <c:v>3824302.5553088114</c:v>
                </c:pt>
                <c:pt idx="84">
                  <c:v>3914996.5373515631</c:v>
                </c:pt>
                <c:pt idx="85">
                  <c:v>3924758.4832255999</c:v>
                </c:pt>
                <c:pt idx="86">
                  <c:v>3897953.443472649</c:v>
                </c:pt>
                <c:pt idx="87">
                  <c:v>3959690.3530053454</c:v>
                </c:pt>
                <c:pt idx="88">
                  <c:v>3980395.9027103032</c:v>
                </c:pt>
                <c:pt idx="89">
                  <c:v>4119643.9196467721</c:v>
                </c:pt>
                <c:pt idx="90">
                  <c:v>4147029.4698378122</c:v>
                </c:pt>
                <c:pt idx="91">
                  <c:v>4015965.1710811108</c:v>
                </c:pt>
                <c:pt idx="92">
                  <c:v>4145220.2164941882</c:v>
                </c:pt>
                <c:pt idx="93">
                  <c:v>4189834.6190082901</c:v>
                </c:pt>
                <c:pt idx="94">
                  <c:v>4298596.4332778202</c:v>
                </c:pt>
                <c:pt idx="95">
                  <c:v>4258134.5138893938</c:v>
                </c:pt>
                <c:pt idx="96">
                  <c:v>4142557.6298495573</c:v>
                </c:pt>
                <c:pt idx="97">
                  <c:v>4186502.1243920485</c:v>
                </c:pt>
                <c:pt idx="98">
                  <c:v>4119523.5137705123</c:v>
                </c:pt>
                <c:pt idx="99">
                  <c:v>4184070.6440610429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0D-48CE-97A9-677BDA8DEDD5}"/>
            </c:ext>
          </c:extLst>
        </c:ser>
        <c:ser>
          <c:idx val="2"/>
          <c:order val="2"/>
          <c:tx>
            <c:strRef>
              <c:f>'Solutions and last graphs'!$D$146</c:f>
              <c:strCache>
                <c:ptCount val="1"/>
                <c:pt idx="0">
                  <c:v>ENPH 0.995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'Solutions and last graphs'!$A$147:$A$246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'Solutions and last graphs'!$D$147:$D$246</c:f>
              <c:numCache>
                <c:formatCode>General</c:formatCode>
                <c:ptCount val="100"/>
                <c:pt idx="0">
                  <c:v>427574.76565291616</c:v>
                </c:pt>
                <c:pt idx="1">
                  <c:v>611218.82890572678</c:v>
                </c:pt>
                <c:pt idx="2">
                  <c:v>756058.35737031093</c:v>
                </c:pt>
                <c:pt idx="3">
                  <c:v>867228.36175468785</c:v>
                </c:pt>
                <c:pt idx="4">
                  <c:v>993852.7451257389</c:v>
                </c:pt>
                <c:pt idx="5">
                  <c:v>1076388.041827688</c:v>
                </c:pt>
                <c:pt idx="6">
                  <c:v>1162348.1344553307</c:v>
                </c:pt>
                <c:pt idx="7">
                  <c:v>1206977.678993053</c:v>
                </c:pt>
                <c:pt idx="8">
                  <c:v>1288319.3700905677</c:v>
                </c:pt>
                <c:pt idx="9">
                  <c:v>1389530.5752979543</c:v>
                </c:pt>
                <c:pt idx="10">
                  <c:v>1464542.4477863377</c:v>
                </c:pt>
                <c:pt idx="11">
                  <c:v>1487016.1350567876</c:v>
                </c:pt>
                <c:pt idx="12">
                  <c:v>1606642.1654614797</c:v>
                </c:pt>
                <c:pt idx="13">
                  <c:v>1673627.2589365607</c:v>
                </c:pt>
                <c:pt idx="14">
                  <c:v>1696711.6902280978</c:v>
                </c:pt>
                <c:pt idx="15">
                  <c:v>1807309.2993901633</c:v>
                </c:pt>
                <c:pt idx="16">
                  <c:v>1793734.2377064121</c:v>
                </c:pt>
                <c:pt idx="17">
                  <c:v>1827188.6125992152</c:v>
                </c:pt>
                <c:pt idx="18">
                  <c:v>1918924.7832860807</c:v>
                </c:pt>
                <c:pt idx="19">
                  <c:v>1955507.0129688638</c:v>
                </c:pt>
                <c:pt idx="20">
                  <c:v>1975534.0213074351</c:v>
                </c:pt>
                <c:pt idx="21">
                  <c:v>2058634.2444452411</c:v>
                </c:pt>
                <c:pt idx="22">
                  <c:v>2092185.7083211867</c:v>
                </c:pt>
                <c:pt idx="23">
                  <c:v>2148001.808461376</c:v>
                </c:pt>
                <c:pt idx="24">
                  <c:v>2180595.264451833</c:v>
                </c:pt>
                <c:pt idx="25">
                  <c:v>2264795.613726337</c:v>
                </c:pt>
                <c:pt idx="26">
                  <c:v>2226455.3247247422</c:v>
                </c:pt>
                <c:pt idx="27">
                  <c:v>2230627.9565928224</c:v>
                </c:pt>
                <c:pt idx="28">
                  <c:v>2381589.3909936319</c:v>
                </c:pt>
                <c:pt idx="29">
                  <c:v>2391773.9150884291</c:v>
                </c:pt>
                <c:pt idx="30">
                  <c:v>2425352.9170083841</c:v>
                </c:pt>
                <c:pt idx="31">
                  <c:v>2459330.7108965782</c:v>
                </c:pt>
                <c:pt idx="32">
                  <c:v>2512388.4362992365</c:v>
                </c:pt>
                <c:pt idx="33">
                  <c:v>2530213.2802463826</c:v>
                </c:pt>
                <c:pt idx="34">
                  <c:v>2569041.6744546709</c:v>
                </c:pt>
                <c:pt idx="35">
                  <c:v>2643695.7177685215</c:v>
                </c:pt>
                <c:pt idx="36">
                  <c:v>2669308.8407832868</c:v>
                </c:pt>
                <c:pt idx="37">
                  <c:v>2702144.3749120329</c:v>
                </c:pt>
                <c:pt idx="38">
                  <c:v>2778163.9510336206</c:v>
                </c:pt>
                <c:pt idx="39">
                  <c:v>2792817.7447914281</c:v>
                </c:pt>
                <c:pt idx="40">
                  <c:v>2761797.2324119513</c:v>
                </c:pt>
                <c:pt idx="41">
                  <c:v>2805967.7968716607</c:v>
                </c:pt>
                <c:pt idx="42">
                  <c:v>2936379.6865909374</c:v>
                </c:pt>
                <c:pt idx="43">
                  <c:v>2915695.9176050755</c:v>
                </c:pt>
                <c:pt idx="44">
                  <c:v>2913845.0245766575</c:v>
                </c:pt>
                <c:pt idx="45">
                  <c:v>2965019.7746715299</c:v>
                </c:pt>
                <c:pt idx="46">
                  <c:v>3082253.7766061006</c:v>
                </c:pt>
                <c:pt idx="47">
                  <c:v>3036387.2596493056</c:v>
                </c:pt>
                <c:pt idx="48">
                  <c:v>3041555.0421040528</c:v>
                </c:pt>
                <c:pt idx="49">
                  <c:v>3080859.9036943438</c:v>
                </c:pt>
                <c:pt idx="50">
                  <c:v>3112669.2197842016</c:v>
                </c:pt>
                <c:pt idx="51">
                  <c:v>3198883.1326326099</c:v>
                </c:pt>
                <c:pt idx="52">
                  <c:v>3112668.2965563941</c:v>
                </c:pt>
                <c:pt idx="53">
                  <c:v>3238278.9989487068</c:v>
                </c:pt>
                <c:pt idx="54">
                  <c:v>3259899.8380539701</c:v>
                </c:pt>
                <c:pt idx="55">
                  <c:v>3224599.3147822376</c:v>
                </c:pt>
                <c:pt idx="56">
                  <c:v>3304544.1781228511</c:v>
                </c:pt>
                <c:pt idx="57">
                  <c:v>3315219.0721629965</c:v>
                </c:pt>
                <c:pt idx="58">
                  <c:v>3356697.2769516008</c:v>
                </c:pt>
                <c:pt idx="59">
                  <c:v>3327110.2813467043</c:v>
                </c:pt>
                <c:pt idx="60">
                  <c:v>3332879.9202836119</c:v>
                </c:pt>
                <c:pt idx="61">
                  <c:v>3420948.3989013769</c:v>
                </c:pt>
                <c:pt idx="62">
                  <c:v>3434277.5149461511</c:v>
                </c:pt>
                <c:pt idx="63">
                  <c:v>3415637.4902222482</c:v>
                </c:pt>
                <c:pt idx="64">
                  <c:v>3501014.1957729124</c:v>
                </c:pt>
                <c:pt idx="65">
                  <c:v>3480356.1851281859</c:v>
                </c:pt>
                <c:pt idx="66">
                  <c:v>3537323.8972010305</c:v>
                </c:pt>
                <c:pt idx="67">
                  <c:v>3591771.1577471457</c:v>
                </c:pt>
                <c:pt idx="68">
                  <c:v>3562529.7183257076</c:v>
                </c:pt>
                <c:pt idx="69">
                  <c:v>3672008.9939460191</c:v>
                </c:pt>
                <c:pt idx="70">
                  <c:v>3585058.9866240225</c:v>
                </c:pt>
                <c:pt idx="71">
                  <c:v>3662120.1718217218</c:v>
                </c:pt>
                <c:pt idx="72">
                  <c:v>3722791.4139630175</c:v>
                </c:pt>
                <c:pt idx="73">
                  <c:v>3744768.8576232865</c:v>
                </c:pt>
                <c:pt idx="74">
                  <c:v>3798483.4858805947</c:v>
                </c:pt>
                <c:pt idx="75">
                  <c:v>3827847.8442707025</c:v>
                </c:pt>
                <c:pt idx="76">
                  <c:v>3821601.1957609016</c:v>
                </c:pt>
                <c:pt idx="77">
                  <c:v>3891224.387938044</c:v>
                </c:pt>
                <c:pt idx="78">
                  <c:v>3954639.4720381792</c:v>
                </c:pt>
                <c:pt idx="79">
                  <c:v>3752680.2130662021</c:v>
                </c:pt>
                <c:pt idx="80">
                  <c:v>3901893.2042925046</c:v>
                </c:pt>
                <c:pt idx="81">
                  <c:v>3928339.0963689396</c:v>
                </c:pt>
                <c:pt idx="82">
                  <c:v>3986755.6663878388</c:v>
                </c:pt>
                <c:pt idx="83">
                  <c:v>3983786.1321913204</c:v>
                </c:pt>
                <c:pt idx="84">
                  <c:v>4002207.543016281</c:v>
                </c:pt>
                <c:pt idx="85">
                  <c:v>3970163.2878691456</c:v>
                </c:pt>
                <c:pt idx="86">
                  <c:v>3986203.5983752715</c:v>
                </c:pt>
                <c:pt idx="87">
                  <c:v>4161091.2025784347</c:v>
                </c:pt>
                <c:pt idx="88">
                  <c:v>4218674.2326016743</c:v>
                </c:pt>
                <c:pt idx="89">
                  <c:v>4181409.3806321332</c:v>
                </c:pt>
                <c:pt idx="90">
                  <c:v>4151432.3258639621</c:v>
                </c:pt>
                <c:pt idx="91">
                  <c:v>4144373.2191791139</c:v>
                </c:pt>
                <c:pt idx="92">
                  <c:v>4315912.0760767004</c:v>
                </c:pt>
                <c:pt idx="93">
                  <c:v>4282139.812191532</c:v>
                </c:pt>
                <c:pt idx="94">
                  <c:v>4248287.5000434704</c:v>
                </c:pt>
                <c:pt idx="95">
                  <c:v>4228424.9720125226</c:v>
                </c:pt>
                <c:pt idx="96">
                  <c:v>4256274.4348181719</c:v>
                </c:pt>
                <c:pt idx="97">
                  <c:v>4370224.0889793234</c:v>
                </c:pt>
                <c:pt idx="98">
                  <c:v>4312765.5540343374</c:v>
                </c:pt>
                <c:pt idx="99">
                  <c:v>4397047.9752650131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0D-48CE-97A9-677BDA8DEDD5}"/>
            </c:ext>
          </c:extLst>
        </c:ser>
        <c:ser>
          <c:idx val="3"/>
          <c:order val="3"/>
          <c:tx>
            <c:strRef>
              <c:f>'Solutions and last graphs'!$E$146</c:f>
              <c:strCache>
                <c:ptCount val="1"/>
                <c:pt idx="0">
                  <c:v>SEDG 0.95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'Solutions and last graphs'!$A$147:$A$246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'Solutions and last graphs'!$E$147:$E$246</c:f>
              <c:numCache>
                <c:formatCode>General</c:formatCode>
                <c:ptCount val="100"/>
                <c:pt idx="0">
                  <c:v>352718.2593505829</c:v>
                </c:pt>
                <c:pt idx="1">
                  <c:v>499574.71942766319</c:v>
                </c:pt>
                <c:pt idx="2">
                  <c:v>616773.57157804398</c:v>
                </c:pt>
                <c:pt idx="3">
                  <c:v>698980.71331295511</c:v>
                </c:pt>
                <c:pt idx="4">
                  <c:v>811182.48697503353</c:v>
                </c:pt>
                <c:pt idx="5">
                  <c:v>871448.76206497278</c:v>
                </c:pt>
                <c:pt idx="6">
                  <c:v>901975.74555151293</c:v>
                </c:pt>
                <c:pt idx="7">
                  <c:v>994162.39207247703</c:v>
                </c:pt>
                <c:pt idx="8">
                  <c:v>1086352.1869927214</c:v>
                </c:pt>
                <c:pt idx="9">
                  <c:v>1108482.1167166682</c:v>
                </c:pt>
                <c:pt idx="10">
                  <c:v>1161507.0917191792</c:v>
                </c:pt>
                <c:pt idx="11">
                  <c:v>1236006.1313338256</c:v>
                </c:pt>
                <c:pt idx="12">
                  <c:v>1238229.7491774098</c:v>
                </c:pt>
                <c:pt idx="13">
                  <c:v>1354539.8024988128</c:v>
                </c:pt>
                <c:pt idx="14">
                  <c:v>1367238.204818326</c:v>
                </c:pt>
                <c:pt idx="15">
                  <c:v>1473760.1682442713</c:v>
                </c:pt>
                <c:pt idx="16">
                  <c:v>1486389.0792136963</c:v>
                </c:pt>
                <c:pt idx="17">
                  <c:v>1494910.6104185088</c:v>
                </c:pt>
                <c:pt idx="18">
                  <c:v>1573889.0105318315</c:v>
                </c:pt>
                <c:pt idx="19">
                  <c:v>1642847.0780248656</c:v>
                </c:pt>
                <c:pt idx="20">
                  <c:v>1615390.0189030725</c:v>
                </c:pt>
                <c:pt idx="21">
                  <c:v>1651435.2221681923</c:v>
                </c:pt>
                <c:pt idx="22">
                  <c:v>1667524.1107684344</c:v>
                </c:pt>
                <c:pt idx="23">
                  <c:v>1765821.0267965486</c:v>
                </c:pt>
                <c:pt idx="24">
                  <c:v>1791328.2708506256</c:v>
                </c:pt>
                <c:pt idx="25">
                  <c:v>1774858.9097192646</c:v>
                </c:pt>
                <c:pt idx="26">
                  <c:v>1900868.8546438364</c:v>
                </c:pt>
                <c:pt idx="27">
                  <c:v>1853853.9400568418</c:v>
                </c:pt>
                <c:pt idx="28">
                  <c:v>1899259.4462299426</c:v>
                </c:pt>
                <c:pt idx="29">
                  <c:v>1982259.5881190686</c:v>
                </c:pt>
                <c:pt idx="30">
                  <c:v>1997192.0509027927</c:v>
                </c:pt>
                <c:pt idx="31">
                  <c:v>2030670.242615321</c:v>
                </c:pt>
                <c:pt idx="32">
                  <c:v>2064662.8822646495</c:v>
                </c:pt>
                <c:pt idx="33">
                  <c:v>2054789.6164452841</c:v>
                </c:pt>
                <c:pt idx="34">
                  <c:v>2141899.3800023794</c:v>
                </c:pt>
                <c:pt idx="35">
                  <c:v>2091314.9271092096</c:v>
                </c:pt>
                <c:pt idx="36">
                  <c:v>2102133.4784614746</c:v>
                </c:pt>
                <c:pt idx="37">
                  <c:v>2173480.7202680483</c:v>
                </c:pt>
                <c:pt idx="38">
                  <c:v>2305276.7696182253</c:v>
                </c:pt>
                <c:pt idx="39">
                  <c:v>2284491.8843106483</c:v>
                </c:pt>
                <c:pt idx="40">
                  <c:v>2304628.3163559739</c:v>
                </c:pt>
                <c:pt idx="41">
                  <c:v>2353260.974074496</c:v>
                </c:pt>
                <c:pt idx="42">
                  <c:v>2278545.9164065793</c:v>
                </c:pt>
                <c:pt idx="43">
                  <c:v>2386706.0981851849</c:v>
                </c:pt>
                <c:pt idx="44">
                  <c:v>2316820.7481912868</c:v>
                </c:pt>
                <c:pt idx="45">
                  <c:v>2438405.1340948367</c:v>
                </c:pt>
                <c:pt idx="46">
                  <c:v>2428775.3934028805</c:v>
                </c:pt>
                <c:pt idx="47">
                  <c:v>2404112.6062750882</c:v>
                </c:pt>
                <c:pt idx="48">
                  <c:v>2497281.8995241569</c:v>
                </c:pt>
                <c:pt idx="49">
                  <c:v>2463116.6524365256</c:v>
                </c:pt>
                <c:pt idx="50">
                  <c:v>2509175.5315942708</c:v>
                </c:pt>
                <c:pt idx="51">
                  <c:v>2570436.6920685931</c:v>
                </c:pt>
                <c:pt idx="52">
                  <c:v>2632588.7443112223</c:v>
                </c:pt>
                <c:pt idx="53">
                  <c:v>2582963.7163063139</c:v>
                </c:pt>
                <c:pt idx="54">
                  <c:v>2653990.1910836091</c:v>
                </c:pt>
                <c:pt idx="55">
                  <c:v>2660778.5337307411</c:v>
                </c:pt>
                <c:pt idx="56">
                  <c:v>2631354.822089259</c:v>
                </c:pt>
                <c:pt idx="57">
                  <c:v>2697378.3090672945</c:v>
                </c:pt>
                <c:pt idx="58">
                  <c:v>2771203.831134628</c:v>
                </c:pt>
                <c:pt idx="59">
                  <c:v>2814494.408996535</c:v>
                </c:pt>
                <c:pt idx="60">
                  <c:v>2806431.8719814601</c:v>
                </c:pt>
                <c:pt idx="61">
                  <c:v>2748106.2938645524</c:v>
                </c:pt>
                <c:pt idx="62">
                  <c:v>2820228.5085012331</c:v>
                </c:pt>
                <c:pt idx="63">
                  <c:v>2872403.2244220213</c:v>
                </c:pt>
                <c:pt idx="64">
                  <c:v>2947592.3051576912</c:v>
                </c:pt>
                <c:pt idx="65">
                  <c:v>2963607.9900901001</c:v>
                </c:pt>
                <c:pt idx="66">
                  <c:v>2877473.1192244617</c:v>
                </c:pt>
                <c:pt idx="67">
                  <c:v>2973784.7357543004</c:v>
                </c:pt>
                <c:pt idx="68">
                  <c:v>3045686.1212265748</c:v>
                </c:pt>
                <c:pt idx="69">
                  <c:v>2921992.7392365411</c:v>
                </c:pt>
                <c:pt idx="70">
                  <c:v>3016473.8008835339</c:v>
                </c:pt>
                <c:pt idx="71">
                  <c:v>3035565.4190337565</c:v>
                </c:pt>
                <c:pt idx="72">
                  <c:v>3072024.3124408955</c:v>
                </c:pt>
                <c:pt idx="73">
                  <c:v>2986991.4701535814</c:v>
                </c:pt>
                <c:pt idx="74">
                  <c:v>3078130.2612292934</c:v>
                </c:pt>
                <c:pt idx="75">
                  <c:v>3052009.7773924363</c:v>
                </c:pt>
                <c:pt idx="76">
                  <c:v>3174620.9330483424</c:v>
                </c:pt>
                <c:pt idx="77">
                  <c:v>3081501.1035440438</c:v>
                </c:pt>
                <c:pt idx="78">
                  <c:v>3251126.6268755184</c:v>
                </c:pt>
                <c:pt idx="79">
                  <c:v>3150893.4119066088</c:v>
                </c:pt>
                <c:pt idx="80">
                  <c:v>3281226.1502236794</c:v>
                </c:pt>
                <c:pt idx="81">
                  <c:v>3153673.6547213974</c:v>
                </c:pt>
                <c:pt idx="82">
                  <c:v>3235111.0951530808</c:v>
                </c:pt>
                <c:pt idx="83">
                  <c:v>3274001.3920145817</c:v>
                </c:pt>
                <c:pt idx="84">
                  <c:v>3251069.0259761331</c:v>
                </c:pt>
                <c:pt idx="85">
                  <c:v>3310792.080710988</c:v>
                </c:pt>
                <c:pt idx="86">
                  <c:v>3280139.5729825529</c:v>
                </c:pt>
                <c:pt idx="87">
                  <c:v>3275762.1632261304</c:v>
                </c:pt>
                <c:pt idx="88">
                  <c:v>3304579.6318211071</c:v>
                </c:pt>
                <c:pt idx="89">
                  <c:v>3360508.9965927079</c:v>
                </c:pt>
                <c:pt idx="90">
                  <c:v>3329560.1490288954</c:v>
                </c:pt>
                <c:pt idx="91">
                  <c:v>3401737.6926400946</c:v>
                </c:pt>
                <c:pt idx="92">
                  <c:v>3281678.4816210275</c:v>
                </c:pt>
                <c:pt idx="93">
                  <c:v>3468717.9783855644</c:v>
                </c:pt>
                <c:pt idx="94">
                  <c:v>3410087.0410348051</c:v>
                </c:pt>
                <c:pt idx="95">
                  <c:v>3469796.7379557011</c:v>
                </c:pt>
                <c:pt idx="96">
                  <c:v>3626066.0297393142</c:v>
                </c:pt>
                <c:pt idx="97">
                  <c:v>3542652.9802118139</c:v>
                </c:pt>
                <c:pt idx="98">
                  <c:v>3505751.4805231392</c:v>
                </c:pt>
                <c:pt idx="99">
                  <c:v>3574150.5501908017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0D-48CE-97A9-677BDA8DEDD5}"/>
            </c:ext>
          </c:extLst>
        </c:ser>
        <c:ser>
          <c:idx val="4"/>
          <c:order val="4"/>
          <c:tx>
            <c:strRef>
              <c:f>'Solutions and last graphs'!$F$146</c:f>
              <c:strCache>
                <c:ptCount val="1"/>
                <c:pt idx="0">
                  <c:v>SEDG 0.99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'Solutions and last graphs'!$A$147:$A$246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'Solutions and last graphs'!$F$147:$F$246</c:f>
              <c:numCache>
                <c:formatCode>General</c:formatCode>
                <c:ptCount val="100"/>
                <c:pt idx="0">
                  <c:v>410357.28154236724</c:v>
                </c:pt>
                <c:pt idx="1">
                  <c:v>569324.07254973496</c:v>
                </c:pt>
                <c:pt idx="2">
                  <c:v>702241.39804422751</c:v>
                </c:pt>
                <c:pt idx="3">
                  <c:v>827173.8579806725</c:v>
                </c:pt>
                <c:pt idx="4">
                  <c:v>926409.59412846004</c:v>
                </c:pt>
                <c:pt idx="5">
                  <c:v>988456.88220019976</c:v>
                </c:pt>
                <c:pt idx="6">
                  <c:v>1084606.9628363948</c:v>
                </c:pt>
                <c:pt idx="7">
                  <c:v>1176682.6924944716</c:v>
                </c:pt>
                <c:pt idx="8">
                  <c:v>1225752.3029538409</c:v>
                </c:pt>
                <c:pt idx="9">
                  <c:v>1282884.3080230637</c:v>
                </c:pt>
                <c:pt idx="10">
                  <c:v>1351137.6844121399</c:v>
                </c:pt>
                <c:pt idx="11">
                  <c:v>1436203.391886743</c:v>
                </c:pt>
                <c:pt idx="12">
                  <c:v>1429616.9892745302</c:v>
                </c:pt>
                <c:pt idx="13">
                  <c:v>1505509.7338794072</c:v>
                </c:pt>
                <c:pt idx="14">
                  <c:v>1577525.9654060283</c:v>
                </c:pt>
                <c:pt idx="15">
                  <c:v>1672452.4720683522</c:v>
                </c:pt>
                <c:pt idx="16">
                  <c:v>1684938.53739718</c:v>
                </c:pt>
                <c:pt idx="17">
                  <c:v>1711380.3998458378</c:v>
                </c:pt>
                <c:pt idx="18">
                  <c:v>1788721.0009918103</c:v>
                </c:pt>
                <c:pt idx="19">
                  <c:v>1794229.4573978649</c:v>
                </c:pt>
                <c:pt idx="20">
                  <c:v>1850804.0835359914</c:v>
                </c:pt>
                <c:pt idx="21">
                  <c:v>1884033.4983440647</c:v>
                </c:pt>
                <c:pt idx="22">
                  <c:v>1935564.903118829</c:v>
                </c:pt>
                <c:pt idx="23">
                  <c:v>1992473.8074842982</c:v>
                </c:pt>
                <c:pt idx="24">
                  <c:v>2003404.3534516147</c:v>
                </c:pt>
                <c:pt idx="25">
                  <c:v>2064940.8131717953</c:v>
                </c:pt>
                <c:pt idx="26">
                  <c:v>2203170.2597894212</c:v>
                </c:pt>
                <c:pt idx="27">
                  <c:v>2063137.6861036452</c:v>
                </c:pt>
                <c:pt idx="28">
                  <c:v>2182229.472739723</c:v>
                </c:pt>
                <c:pt idx="29">
                  <c:v>2172541.0077248137</c:v>
                </c:pt>
                <c:pt idx="30">
                  <c:v>2262121.0115953432</c:v>
                </c:pt>
                <c:pt idx="31">
                  <c:v>2284802.3241753918</c:v>
                </c:pt>
                <c:pt idx="32">
                  <c:v>2274383.5686708083</c:v>
                </c:pt>
                <c:pt idx="33">
                  <c:v>2397108.7631467427</c:v>
                </c:pt>
                <c:pt idx="34">
                  <c:v>2355121.8923146217</c:v>
                </c:pt>
                <c:pt idx="35">
                  <c:v>2472920.8466013856</c:v>
                </c:pt>
                <c:pt idx="36">
                  <c:v>2462084.3963988912</c:v>
                </c:pt>
                <c:pt idx="37">
                  <c:v>2455886.6915409206</c:v>
                </c:pt>
                <c:pt idx="38">
                  <c:v>2519685.5972838039</c:v>
                </c:pt>
                <c:pt idx="39">
                  <c:v>2574996.3249155208</c:v>
                </c:pt>
                <c:pt idx="40">
                  <c:v>2535935.2290227851</c:v>
                </c:pt>
                <c:pt idx="41">
                  <c:v>2578696.9613531725</c:v>
                </c:pt>
                <c:pt idx="42">
                  <c:v>2657266.6355101592</c:v>
                </c:pt>
                <c:pt idx="43">
                  <c:v>2649749.7625204856</c:v>
                </c:pt>
                <c:pt idx="44">
                  <c:v>2748409.6785807041</c:v>
                </c:pt>
                <c:pt idx="45">
                  <c:v>2849883.1211898797</c:v>
                </c:pt>
                <c:pt idx="46">
                  <c:v>2775860.5771620525</c:v>
                </c:pt>
                <c:pt idx="47">
                  <c:v>2804748.6426294376</c:v>
                </c:pt>
                <c:pt idx="48">
                  <c:v>2787309.4157802914</c:v>
                </c:pt>
                <c:pt idx="49">
                  <c:v>2803586.8167658211</c:v>
                </c:pt>
                <c:pt idx="50">
                  <c:v>2891287.3172498699</c:v>
                </c:pt>
                <c:pt idx="51">
                  <c:v>2903695.0909509528</c:v>
                </c:pt>
                <c:pt idx="52">
                  <c:v>2965320.1368575017</c:v>
                </c:pt>
                <c:pt idx="53">
                  <c:v>3038996.0069934106</c:v>
                </c:pt>
                <c:pt idx="54">
                  <c:v>3000940.4893794502</c:v>
                </c:pt>
                <c:pt idx="55">
                  <c:v>3062145.402043636</c:v>
                </c:pt>
                <c:pt idx="56">
                  <c:v>3116348.0940037137</c:v>
                </c:pt>
                <c:pt idx="57">
                  <c:v>3106159.8447533366</c:v>
                </c:pt>
                <c:pt idx="58">
                  <c:v>3027516.369706267</c:v>
                </c:pt>
                <c:pt idx="59">
                  <c:v>3092664.5480280477</c:v>
                </c:pt>
                <c:pt idx="60">
                  <c:v>3146768.7090567555</c:v>
                </c:pt>
                <c:pt idx="61">
                  <c:v>3209668.1510336786</c:v>
                </c:pt>
                <c:pt idx="62">
                  <c:v>3221542.1101593971</c:v>
                </c:pt>
                <c:pt idx="63">
                  <c:v>3212634.3452350479</c:v>
                </c:pt>
                <c:pt idx="64">
                  <c:v>3335378.180308226</c:v>
                </c:pt>
                <c:pt idx="65">
                  <c:v>3385851.9253858454</c:v>
                </c:pt>
                <c:pt idx="66">
                  <c:v>3330366.0353945671</c:v>
                </c:pt>
                <c:pt idx="67">
                  <c:v>3378043.3628262146</c:v>
                </c:pt>
                <c:pt idx="68">
                  <c:v>3366765.4950033841</c:v>
                </c:pt>
                <c:pt idx="69">
                  <c:v>3424694.2860082285</c:v>
                </c:pt>
                <c:pt idx="70">
                  <c:v>3477724.4376317877</c:v>
                </c:pt>
                <c:pt idx="71">
                  <c:v>3531355.049406996</c:v>
                </c:pt>
                <c:pt idx="72">
                  <c:v>3409890.0417192667</c:v>
                </c:pt>
                <c:pt idx="73">
                  <c:v>3492844.6289497344</c:v>
                </c:pt>
                <c:pt idx="74">
                  <c:v>3494076.8369812109</c:v>
                </c:pt>
                <c:pt idx="75">
                  <c:v>3526014.5332418666</c:v>
                </c:pt>
                <c:pt idx="76">
                  <c:v>3609165.0091901924</c:v>
                </c:pt>
                <c:pt idx="77">
                  <c:v>3728461.4189285403</c:v>
                </c:pt>
                <c:pt idx="78">
                  <c:v>3668336.2411025711</c:v>
                </c:pt>
                <c:pt idx="79">
                  <c:v>3622888.1993763223</c:v>
                </c:pt>
                <c:pt idx="80">
                  <c:v>3668319.1177740386</c:v>
                </c:pt>
                <c:pt idx="81">
                  <c:v>3696033.0929255397</c:v>
                </c:pt>
                <c:pt idx="82">
                  <c:v>3656630.6772750029</c:v>
                </c:pt>
                <c:pt idx="83">
                  <c:v>3655960.740647071</c:v>
                </c:pt>
                <c:pt idx="84">
                  <c:v>3807806.2675288692</c:v>
                </c:pt>
                <c:pt idx="85">
                  <c:v>3809332.5878536222</c:v>
                </c:pt>
                <c:pt idx="86">
                  <c:v>3818621.9424793795</c:v>
                </c:pt>
                <c:pt idx="87">
                  <c:v>3841436.63845499</c:v>
                </c:pt>
                <c:pt idx="88">
                  <c:v>3800871.0873064203</c:v>
                </c:pt>
                <c:pt idx="89">
                  <c:v>3809731.7059117388</c:v>
                </c:pt>
                <c:pt idx="90">
                  <c:v>3848016.0248960233</c:v>
                </c:pt>
                <c:pt idx="91">
                  <c:v>3876766.4182510795</c:v>
                </c:pt>
                <c:pt idx="92">
                  <c:v>3967988.9289700883</c:v>
                </c:pt>
                <c:pt idx="93">
                  <c:v>3874370.3384354371</c:v>
                </c:pt>
                <c:pt idx="94">
                  <c:v>3967925.1606885479</c:v>
                </c:pt>
                <c:pt idx="95">
                  <c:v>3997042.7051515575</c:v>
                </c:pt>
                <c:pt idx="96">
                  <c:v>3996903.4078601408</c:v>
                </c:pt>
                <c:pt idx="97">
                  <c:v>4026897.4880738631</c:v>
                </c:pt>
                <c:pt idx="98">
                  <c:v>4090791.0810715524</c:v>
                </c:pt>
                <c:pt idx="99">
                  <c:v>4057081.452733052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40D-48CE-97A9-677BDA8DEDD5}"/>
            </c:ext>
          </c:extLst>
        </c:ser>
        <c:ser>
          <c:idx val="5"/>
          <c:order val="5"/>
          <c:tx>
            <c:strRef>
              <c:f>'Solutions and last graphs'!$G$146</c:f>
              <c:strCache>
                <c:ptCount val="1"/>
                <c:pt idx="0">
                  <c:v>SEDG 0.995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'Solutions and last graphs'!$A$147:$A$246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'Solutions and last graphs'!$G$147:$G$246</c:f>
              <c:numCache>
                <c:formatCode>General</c:formatCode>
                <c:ptCount val="100"/>
                <c:pt idx="0">
                  <c:v>416895.67153823696</c:v>
                </c:pt>
                <c:pt idx="1">
                  <c:v>585757.22716242552</c:v>
                </c:pt>
                <c:pt idx="2">
                  <c:v>735501.04699197644</c:v>
                </c:pt>
                <c:pt idx="3">
                  <c:v>845075.17285665346</c:v>
                </c:pt>
                <c:pt idx="4">
                  <c:v>932598.21840382274</c:v>
                </c:pt>
                <c:pt idx="5">
                  <c:v>1054806.6281222939</c:v>
                </c:pt>
                <c:pt idx="6">
                  <c:v>1138237.9240503272</c:v>
                </c:pt>
                <c:pt idx="7">
                  <c:v>1176556.542380505</c:v>
                </c:pt>
                <c:pt idx="8">
                  <c:v>1266793.4399774561</c:v>
                </c:pt>
                <c:pt idx="9">
                  <c:v>1342899.7153464712</c:v>
                </c:pt>
                <c:pt idx="10">
                  <c:v>1369191.4688769556</c:v>
                </c:pt>
                <c:pt idx="11">
                  <c:v>1466978.2093880819</c:v>
                </c:pt>
                <c:pt idx="12">
                  <c:v>1524685.691183029</c:v>
                </c:pt>
                <c:pt idx="13">
                  <c:v>1526988.2272056628</c:v>
                </c:pt>
                <c:pt idx="14">
                  <c:v>1612015.493918838</c:v>
                </c:pt>
                <c:pt idx="15">
                  <c:v>1755821.9600647998</c:v>
                </c:pt>
                <c:pt idx="16">
                  <c:v>1701797.9108327997</c:v>
                </c:pt>
                <c:pt idx="17">
                  <c:v>1781219.94565564</c:v>
                </c:pt>
                <c:pt idx="18">
                  <c:v>1823705.83555364</c:v>
                </c:pt>
                <c:pt idx="19">
                  <c:v>1887834.7208984646</c:v>
                </c:pt>
                <c:pt idx="20">
                  <c:v>1882852.5848455976</c:v>
                </c:pt>
                <c:pt idx="21">
                  <c:v>1987174.9443579204</c:v>
                </c:pt>
                <c:pt idx="22">
                  <c:v>2039831.5872894668</c:v>
                </c:pt>
                <c:pt idx="23">
                  <c:v>2120448.52808592</c:v>
                </c:pt>
                <c:pt idx="24">
                  <c:v>2089182.0523902066</c:v>
                </c:pt>
                <c:pt idx="25">
                  <c:v>2199429.6396078356</c:v>
                </c:pt>
                <c:pt idx="26">
                  <c:v>2196964.3426360325</c:v>
                </c:pt>
                <c:pt idx="27">
                  <c:v>2234159.1813052981</c:v>
                </c:pt>
                <c:pt idx="28">
                  <c:v>2278339.0243606595</c:v>
                </c:pt>
                <c:pt idx="29">
                  <c:v>2270799.4513636315</c:v>
                </c:pt>
                <c:pt idx="30">
                  <c:v>2374556.2074990878</c:v>
                </c:pt>
                <c:pt idx="31">
                  <c:v>2303747.0262954421</c:v>
                </c:pt>
                <c:pt idx="32">
                  <c:v>2334212.0697064712</c:v>
                </c:pt>
                <c:pt idx="33">
                  <c:v>2423287.010416375</c:v>
                </c:pt>
                <c:pt idx="34">
                  <c:v>2531065.776767259</c:v>
                </c:pt>
                <c:pt idx="35">
                  <c:v>2511206.3024163418</c:v>
                </c:pt>
                <c:pt idx="36">
                  <c:v>2496280.4085760936</c:v>
                </c:pt>
                <c:pt idx="37">
                  <c:v>2556677.8006889089</c:v>
                </c:pt>
                <c:pt idx="38">
                  <c:v>2560676.5575860459</c:v>
                </c:pt>
                <c:pt idx="39">
                  <c:v>2709549.1792114507</c:v>
                </c:pt>
                <c:pt idx="40">
                  <c:v>2641736.8097982374</c:v>
                </c:pt>
                <c:pt idx="41">
                  <c:v>2565331.2147157514</c:v>
                </c:pt>
                <c:pt idx="42">
                  <c:v>2659870.0438882867</c:v>
                </c:pt>
                <c:pt idx="43">
                  <c:v>2791692.0023763306</c:v>
                </c:pt>
                <c:pt idx="44">
                  <c:v>2740985.156799735</c:v>
                </c:pt>
                <c:pt idx="45">
                  <c:v>2896455.9267725344</c:v>
                </c:pt>
                <c:pt idx="46">
                  <c:v>2883248.3063617675</c:v>
                </c:pt>
                <c:pt idx="47">
                  <c:v>2980272.8846571576</c:v>
                </c:pt>
                <c:pt idx="48">
                  <c:v>2889036.4472881798</c:v>
                </c:pt>
                <c:pt idx="49">
                  <c:v>2935476.2601875486</c:v>
                </c:pt>
                <c:pt idx="50">
                  <c:v>2997387.5695866481</c:v>
                </c:pt>
                <c:pt idx="51">
                  <c:v>2971338.617951626</c:v>
                </c:pt>
                <c:pt idx="52">
                  <c:v>3031769.897200759</c:v>
                </c:pt>
                <c:pt idx="53">
                  <c:v>3017510.8444408108</c:v>
                </c:pt>
                <c:pt idx="54">
                  <c:v>3256303.1269755736</c:v>
                </c:pt>
                <c:pt idx="55">
                  <c:v>3198229.3563827621</c:v>
                </c:pt>
                <c:pt idx="56">
                  <c:v>3173763.3853189116</c:v>
                </c:pt>
                <c:pt idx="57">
                  <c:v>3106711.0192030943</c:v>
                </c:pt>
                <c:pt idx="58">
                  <c:v>3163867.5563096548</c:v>
                </c:pt>
                <c:pt idx="59">
                  <c:v>3317374.4216719172</c:v>
                </c:pt>
                <c:pt idx="60">
                  <c:v>3262184.4741956</c:v>
                </c:pt>
                <c:pt idx="61">
                  <c:v>3256438.7271419009</c:v>
                </c:pt>
                <c:pt idx="62">
                  <c:v>3341841.0976986922</c:v>
                </c:pt>
                <c:pt idx="63">
                  <c:v>3312939.9765114975</c:v>
                </c:pt>
                <c:pt idx="64">
                  <c:v>3412970.7513841284</c:v>
                </c:pt>
                <c:pt idx="65">
                  <c:v>3456023.8990359185</c:v>
                </c:pt>
                <c:pt idx="66">
                  <c:v>3539949.3841037676</c:v>
                </c:pt>
                <c:pt idx="67">
                  <c:v>3403038.4210084658</c:v>
                </c:pt>
                <c:pt idx="68">
                  <c:v>3497397.6349265082</c:v>
                </c:pt>
                <c:pt idx="69">
                  <c:v>3433379.7580209989</c:v>
                </c:pt>
                <c:pt idx="70">
                  <c:v>3462563.2126580095</c:v>
                </c:pt>
                <c:pt idx="71">
                  <c:v>3732793.8118167296</c:v>
                </c:pt>
                <c:pt idx="72">
                  <c:v>3582807.1375494045</c:v>
                </c:pt>
                <c:pt idx="73">
                  <c:v>3563371.5158190611</c:v>
                </c:pt>
                <c:pt idx="74">
                  <c:v>3501071.9848229457</c:v>
                </c:pt>
                <c:pt idx="75">
                  <c:v>3527688.475281965</c:v>
                </c:pt>
                <c:pt idx="76">
                  <c:v>3644229.6012939746</c:v>
                </c:pt>
                <c:pt idx="77">
                  <c:v>3616245.4356992906</c:v>
                </c:pt>
                <c:pt idx="78">
                  <c:v>3746522.3560846588</c:v>
                </c:pt>
                <c:pt idx="79">
                  <c:v>3847706.396937835</c:v>
                </c:pt>
                <c:pt idx="80">
                  <c:v>3791206.2408858812</c:v>
                </c:pt>
                <c:pt idx="81">
                  <c:v>3740094.2017207881</c:v>
                </c:pt>
                <c:pt idx="82">
                  <c:v>3871426.543244313</c:v>
                </c:pt>
                <c:pt idx="83">
                  <c:v>3772658.7157422383</c:v>
                </c:pt>
                <c:pt idx="84">
                  <c:v>3788254.9877619883</c:v>
                </c:pt>
                <c:pt idx="85">
                  <c:v>4072141.3613042026</c:v>
                </c:pt>
                <c:pt idx="86">
                  <c:v>3775798.4503977871</c:v>
                </c:pt>
                <c:pt idx="87">
                  <c:v>3963115.0403673914</c:v>
                </c:pt>
                <c:pt idx="88">
                  <c:v>3872675.4765944364</c:v>
                </c:pt>
                <c:pt idx="89">
                  <c:v>3920866.2301590769</c:v>
                </c:pt>
                <c:pt idx="90">
                  <c:v>3978608.4222404789</c:v>
                </c:pt>
                <c:pt idx="91">
                  <c:v>4029497.1237361049</c:v>
                </c:pt>
                <c:pt idx="92">
                  <c:v>4076570.7922352003</c:v>
                </c:pt>
                <c:pt idx="93">
                  <c:v>4169248.4499989799</c:v>
                </c:pt>
                <c:pt idx="94">
                  <c:v>4062391.1135406871</c:v>
                </c:pt>
                <c:pt idx="95">
                  <c:v>4164795.0427431334</c:v>
                </c:pt>
                <c:pt idx="96">
                  <c:v>4064384.3734844998</c:v>
                </c:pt>
                <c:pt idx="97">
                  <c:v>4147603.2634984269</c:v>
                </c:pt>
                <c:pt idx="98">
                  <c:v>4209516.4249412129</c:v>
                </c:pt>
                <c:pt idx="99">
                  <c:v>4155362.4290528875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40D-48CE-97A9-677BDA8DEDD5}"/>
            </c:ext>
          </c:extLst>
        </c:ser>
        <c:ser>
          <c:idx val="6"/>
          <c:order val="6"/>
          <c:tx>
            <c:strRef>
              <c:f>'Solutions and last graphs'!$H$146</c:f>
              <c:strCache>
                <c:ptCount val="1"/>
                <c:pt idx="0">
                  <c:v>PF 0.95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'Solutions and last graphs'!$A$147:$A$246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'Solutions and last graphs'!$H$147:$H$246</c:f>
              <c:numCache>
                <c:formatCode>General</c:formatCode>
                <c:ptCount val="100"/>
                <c:pt idx="0">
                  <c:v>698106.79090595373</c:v>
                </c:pt>
                <c:pt idx="1">
                  <c:v>1011239.9368344833</c:v>
                </c:pt>
                <c:pt idx="2">
                  <c:v>1219597.6299980234</c:v>
                </c:pt>
                <c:pt idx="3">
                  <c:v>1429836.2938735741</c:v>
                </c:pt>
                <c:pt idx="4">
                  <c:v>1611802.4468204177</c:v>
                </c:pt>
                <c:pt idx="5">
                  <c:v>1785427.2362588544</c:v>
                </c:pt>
                <c:pt idx="6">
                  <c:v>1900525.1724106066</c:v>
                </c:pt>
                <c:pt idx="7">
                  <c:v>1993313.3728062243</c:v>
                </c:pt>
                <c:pt idx="8">
                  <c:v>2121043.0489627719</c:v>
                </c:pt>
                <c:pt idx="9">
                  <c:v>2285006.8239412811</c:v>
                </c:pt>
                <c:pt idx="10">
                  <c:v>2378078.0631810664</c:v>
                </c:pt>
                <c:pt idx="11">
                  <c:v>2519804.447881802</c:v>
                </c:pt>
                <c:pt idx="12">
                  <c:v>2592709.5228506722</c:v>
                </c:pt>
                <c:pt idx="13">
                  <c:v>2680688.8100468577</c:v>
                </c:pt>
                <c:pt idx="14">
                  <c:v>2799499.2483613202</c:v>
                </c:pt>
                <c:pt idx="15">
                  <c:v>2797314.1155389147</c:v>
                </c:pt>
                <c:pt idx="16">
                  <c:v>2944920.2838341198</c:v>
                </c:pt>
                <c:pt idx="17">
                  <c:v>2921253.974776281</c:v>
                </c:pt>
                <c:pt idx="18">
                  <c:v>3194745.4027109444</c:v>
                </c:pt>
                <c:pt idx="19">
                  <c:v>3235589.1764821955</c:v>
                </c:pt>
                <c:pt idx="20">
                  <c:v>3292199.5118153631</c:v>
                </c:pt>
                <c:pt idx="21">
                  <c:v>3336312.2388721351</c:v>
                </c:pt>
                <c:pt idx="22">
                  <c:v>3443885.993547597</c:v>
                </c:pt>
                <c:pt idx="23">
                  <c:v>3524598.3887359072</c:v>
                </c:pt>
                <c:pt idx="24">
                  <c:v>3653368.4517251961</c:v>
                </c:pt>
                <c:pt idx="25">
                  <c:v>3573864.4298641798</c:v>
                </c:pt>
                <c:pt idx="26">
                  <c:v>3707840.1558021051</c:v>
                </c:pt>
                <c:pt idx="27">
                  <c:v>3877336.547584048</c:v>
                </c:pt>
                <c:pt idx="28">
                  <c:v>4007910.8133126791</c:v>
                </c:pt>
                <c:pt idx="29">
                  <c:v>3999636.8712561009</c:v>
                </c:pt>
                <c:pt idx="30">
                  <c:v>3929051.8648690851</c:v>
                </c:pt>
                <c:pt idx="31">
                  <c:v>4095232.4707820304</c:v>
                </c:pt>
                <c:pt idx="32">
                  <c:v>4061903.8077835822</c:v>
                </c:pt>
                <c:pt idx="33">
                  <c:v>4211963.345009164</c:v>
                </c:pt>
                <c:pt idx="34">
                  <c:v>4217278.8809456965</c:v>
                </c:pt>
                <c:pt idx="35">
                  <c:v>4396044.7456847616</c:v>
                </c:pt>
                <c:pt idx="36">
                  <c:v>4389718.5470605409</c:v>
                </c:pt>
                <c:pt idx="37">
                  <c:v>4535130.3669533553</c:v>
                </c:pt>
                <c:pt idx="38">
                  <c:v>4439289.2875766996</c:v>
                </c:pt>
                <c:pt idx="39">
                  <c:v>4493001.6812277054</c:v>
                </c:pt>
                <c:pt idx="40">
                  <c:v>4602538.0011749901</c:v>
                </c:pt>
                <c:pt idx="41">
                  <c:v>4772913.6033506356</c:v>
                </c:pt>
                <c:pt idx="42">
                  <c:v>4811464.2811371321</c:v>
                </c:pt>
                <c:pt idx="43">
                  <c:v>4817980.67788909</c:v>
                </c:pt>
                <c:pt idx="44">
                  <c:v>4850445.2798202606</c:v>
                </c:pt>
                <c:pt idx="45">
                  <c:v>4867808.6899323286</c:v>
                </c:pt>
                <c:pt idx="46">
                  <c:v>4873365.1517256377</c:v>
                </c:pt>
                <c:pt idx="47">
                  <c:v>4969640.5688683111</c:v>
                </c:pt>
                <c:pt idx="48">
                  <c:v>5063590.7330459403</c:v>
                </c:pt>
                <c:pt idx="49">
                  <c:v>4917680.3060202338</c:v>
                </c:pt>
                <c:pt idx="50">
                  <c:v>5204242.2479546256</c:v>
                </c:pt>
                <c:pt idx="51">
                  <c:v>5241067.6787011921</c:v>
                </c:pt>
                <c:pt idx="52">
                  <c:v>5353159.4267753409</c:v>
                </c:pt>
                <c:pt idx="53">
                  <c:v>5230978.2323413286</c:v>
                </c:pt>
                <c:pt idx="54">
                  <c:v>5277537.1741447644</c:v>
                </c:pt>
                <c:pt idx="55">
                  <c:v>5383095.9548426708</c:v>
                </c:pt>
                <c:pt idx="56">
                  <c:v>5492400.9543776941</c:v>
                </c:pt>
                <c:pt idx="57">
                  <c:v>5571181.5916408598</c:v>
                </c:pt>
                <c:pt idx="58">
                  <c:v>5498330.6409023693</c:v>
                </c:pt>
                <c:pt idx="59">
                  <c:v>5649753.7472492103</c:v>
                </c:pt>
                <c:pt idx="60">
                  <c:v>5463613.3830459323</c:v>
                </c:pt>
                <c:pt idx="61">
                  <c:v>5665509.9410673203</c:v>
                </c:pt>
                <c:pt idx="62">
                  <c:v>5835210.4988920996</c:v>
                </c:pt>
                <c:pt idx="63">
                  <c:v>5829297.4442055738</c:v>
                </c:pt>
                <c:pt idx="64">
                  <c:v>5942439.616312406</c:v>
                </c:pt>
                <c:pt idx="65">
                  <c:v>5957899.8181875916</c:v>
                </c:pt>
                <c:pt idx="66">
                  <c:v>5812767.7299474832</c:v>
                </c:pt>
                <c:pt idx="67">
                  <c:v>5950944.1346948911</c:v>
                </c:pt>
                <c:pt idx="68">
                  <c:v>5931879.1656440077</c:v>
                </c:pt>
                <c:pt idx="69">
                  <c:v>6051687.1554128099</c:v>
                </c:pt>
                <c:pt idx="70">
                  <c:v>6066418.1287910538</c:v>
                </c:pt>
                <c:pt idx="71">
                  <c:v>6294500.2787689669</c:v>
                </c:pt>
                <c:pt idx="72">
                  <c:v>6277242.8659651987</c:v>
                </c:pt>
                <c:pt idx="73">
                  <c:v>6187215.9949289374</c:v>
                </c:pt>
                <c:pt idx="74">
                  <c:v>6320276.8230391145</c:v>
                </c:pt>
                <c:pt idx="75">
                  <c:v>6221869.1088593584</c:v>
                </c:pt>
                <c:pt idx="76">
                  <c:v>6406351.7331072213</c:v>
                </c:pt>
                <c:pt idx="77">
                  <c:v>6282225.1591539579</c:v>
                </c:pt>
                <c:pt idx="78">
                  <c:v>6482551.9168030173</c:v>
                </c:pt>
                <c:pt idx="79">
                  <c:v>6472561.0532533899</c:v>
                </c:pt>
                <c:pt idx="80">
                  <c:v>6433935.9451982277</c:v>
                </c:pt>
                <c:pt idx="81">
                  <c:v>6598295.4348636856</c:v>
                </c:pt>
                <c:pt idx="82">
                  <c:v>6535848.275110607</c:v>
                </c:pt>
                <c:pt idx="83">
                  <c:v>6619862.1366472468</c:v>
                </c:pt>
                <c:pt idx="84">
                  <c:v>6788671.125582695</c:v>
                </c:pt>
                <c:pt idx="85">
                  <c:v>6639112.4409758681</c:v>
                </c:pt>
                <c:pt idx="86">
                  <c:v>6594544.221207859</c:v>
                </c:pt>
                <c:pt idx="87">
                  <c:v>6631059.7660268107</c:v>
                </c:pt>
                <c:pt idx="88">
                  <c:v>6860023.9987080386</c:v>
                </c:pt>
                <c:pt idx="89">
                  <c:v>6709316.3588984925</c:v>
                </c:pt>
                <c:pt idx="90">
                  <c:v>6809149.9749552067</c:v>
                </c:pt>
                <c:pt idx="91">
                  <c:v>6790030.0396906007</c:v>
                </c:pt>
                <c:pt idx="92">
                  <c:v>6867827.2807841767</c:v>
                </c:pt>
                <c:pt idx="93">
                  <c:v>6985360.2719362825</c:v>
                </c:pt>
                <c:pt idx="94">
                  <c:v>6994288.7671037363</c:v>
                </c:pt>
                <c:pt idx="95">
                  <c:v>6716587.7712265374</c:v>
                </c:pt>
                <c:pt idx="96">
                  <c:v>7149596.0738956537</c:v>
                </c:pt>
                <c:pt idx="97">
                  <c:v>7245308.3529236335</c:v>
                </c:pt>
                <c:pt idx="98">
                  <c:v>7072114.0848471168</c:v>
                </c:pt>
                <c:pt idx="99">
                  <c:v>7062075.4800435267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40D-48CE-97A9-677BDA8DEDD5}"/>
            </c:ext>
          </c:extLst>
        </c:ser>
        <c:ser>
          <c:idx val="7"/>
          <c:order val="7"/>
          <c:tx>
            <c:strRef>
              <c:f>'Solutions and last graphs'!$I$146</c:f>
              <c:strCache>
                <c:ptCount val="1"/>
                <c:pt idx="0">
                  <c:v>PF 0.99</c:v>
                </c:pt>
              </c:strCache>
            </c:strRef>
          </c:tx>
          <c:spPr>
            <a:ln w="28575" cap="rnd">
              <a:solidFill>
                <a:srgbClr val="92D050"/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'Solutions and last graphs'!$A$147:$A$246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'Solutions and last graphs'!$I$147:$I$246</c:f>
              <c:numCache>
                <c:formatCode>General</c:formatCode>
                <c:ptCount val="100"/>
                <c:pt idx="0">
                  <c:v>830314.51836535428</c:v>
                </c:pt>
                <c:pt idx="1">
                  <c:v>1165375.482497148</c:v>
                </c:pt>
                <c:pt idx="2">
                  <c:v>1376812.0914516465</c:v>
                </c:pt>
                <c:pt idx="3">
                  <c:v>1618517.4598986486</c:v>
                </c:pt>
                <c:pt idx="4">
                  <c:v>1808944.1871897224</c:v>
                </c:pt>
                <c:pt idx="5">
                  <c:v>2030014.8706924159</c:v>
                </c:pt>
                <c:pt idx="6">
                  <c:v>2169610.9744232805</c:v>
                </c:pt>
                <c:pt idx="7">
                  <c:v>2242613.5182847772</c:v>
                </c:pt>
                <c:pt idx="8">
                  <c:v>2508876.2686787751</c:v>
                </c:pt>
                <c:pt idx="9">
                  <c:v>2514536.131100419</c:v>
                </c:pt>
                <c:pt idx="10">
                  <c:v>2722720.3545544734</c:v>
                </c:pt>
                <c:pt idx="11">
                  <c:v>2871999.8134922348</c:v>
                </c:pt>
                <c:pt idx="12">
                  <c:v>2971921.0486673438</c:v>
                </c:pt>
                <c:pt idx="13">
                  <c:v>3057380.8659602064</c:v>
                </c:pt>
                <c:pt idx="14">
                  <c:v>3162342.2974895653</c:v>
                </c:pt>
                <c:pt idx="15">
                  <c:v>3246841.7825724091</c:v>
                </c:pt>
                <c:pt idx="16">
                  <c:v>3407542.212083552</c:v>
                </c:pt>
                <c:pt idx="17">
                  <c:v>3528586.3041290022</c:v>
                </c:pt>
                <c:pt idx="18">
                  <c:v>3527167.7717666873</c:v>
                </c:pt>
                <c:pt idx="19">
                  <c:v>3746007.1412515729</c:v>
                </c:pt>
                <c:pt idx="20">
                  <c:v>3754676.3116169875</c:v>
                </c:pt>
                <c:pt idx="21">
                  <c:v>3732540.8230695855</c:v>
                </c:pt>
                <c:pt idx="22">
                  <c:v>3846519.3478860846</c:v>
                </c:pt>
                <c:pt idx="23">
                  <c:v>3959480.1050415132</c:v>
                </c:pt>
                <c:pt idx="24">
                  <c:v>4021943.2722801846</c:v>
                </c:pt>
                <c:pt idx="25">
                  <c:v>4199887.6570668258</c:v>
                </c:pt>
                <c:pt idx="26">
                  <c:v>4186298.2809680514</c:v>
                </c:pt>
                <c:pt idx="27">
                  <c:v>4310560.3951995056</c:v>
                </c:pt>
                <c:pt idx="28">
                  <c:v>4414467.1287447223</c:v>
                </c:pt>
                <c:pt idx="29">
                  <c:v>4434223.5044643553</c:v>
                </c:pt>
                <c:pt idx="30">
                  <c:v>4527190.4279924026</c:v>
                </c:pt>
                <c:pt idx="31">
                  <c:v>4576040.4408698175</c:v>
                </c:pt>
                <c:pt idx="32">
                  <c:v>4786035.2911912221</c:v>
                </c:pt>
                <c:pt idx="33">
                  <c:v>4948499.0780892186</c:v>
                </c:pt>
                <c:pt idx="34">
                  <c:v>4912834.5586381257</c:v>
                </c:pt>
                <c:pt idx="35">
                  <c:v>4888999.0373929627</c:v>
                </c:pt>
                <c:pt idx="36">
                  <c:v>5124685.6465719482</c:v>
                </c:pt>
                <c:pt idx="37">
                  <c:v>4952072.7914480716</c:v>
                </c:pt>
                <c:pt idx="38">
                  <c:v>5043376.5238713939</c:v>
                </c:pt>
                <c:pt idx="39">
                  <c:v>5063206.488160531</c:v>
                </c:pt>
                <c:pt idx="40">
                  <c:v>5278317.3194792336</c:v>
                </c:pt>
                <c:pt idx="41">
                  <c:v>5299915.4215068677</c:v>
                </c:pt>
                <c:pt idx="42">
                  <c:v>5493159.6479198784</c:v>
                </c:pt>
                <c:pt idx="43">
                  <c:v>5614293.8701040512</c:v>
                </c:pt>
                <c:pt idx="44">
                  <c:v>5402770.2536613736</c:v>
                </c:pt>
                <c:pt idx="45">
                  <c:v>5560205.1888818145</c:v>
                </c:pt>
                <c:pt idx="46">
                  <c:v>5617687.8250626139</c:v>
                </c:pt>
                <c:pt idx="47">
                  <c:v>5610455.9954858217</c:v>
                </c:pt>
                <c:pt idx="48">
                  <c:v>5754905.9648082182</c:v>
                </c:pt>
                <c:pt idx="49">
                  <c:v>5517480.8030523155</c:v>
                </c:pt>
                <c:pt idx="50">
                  <c:v>5821311.2768651852</c:v>
                </c:pt>
                <c:pt idx="51">
                  <c:v>5793543.9039629819</c:v>
                </c:pt>
                <c:pt idx="52">
                  <c:v>5969701.2334119165</c:v>
                </c:pt>
                <c:pt idx="53">
                  <c:v>6024378.41351071</c:v>
                </c:pt>
                <c:pt idx="54">
                  <c:v>6064593.9634996559</c:v>
                </c:pt>
                <c:pt idx="55">
                  <c:v>6110939.2272322206</c:v>
                </c:pt>
                <c:pt idx="56">
                  <c:v>6029917.7903383225</c:v>
                </c:pt>
                <c:pt idx="57">
                  <c:v>6207888.6763339536</c:v>
                </c:pt>
                <c:pt idx="58">
                  <c:v>6441933.2664247071</c:v>
                </c:pt>
                <c:pt idx="59">
                  <c:v>6304339.3332635192</c:v>
                </c:pt>
                <c:pt idx="60">
                  <c:v>6410446.6691989778</c:v>
                </c:pt>
                <c:pt idx="61">
                  <c:v>6311769.7620776566</c:v>
                </c:pt>
                <c:pt idx="62">
                  <c:v>6231968.9575982811</c:v>
                </c:pt>
                <c:pt idx="63">
                  <c:v>6423183.4605084956</c:v>
                </c:pt>
                <c:pt idx="64">
                  <c:v>6622789.3342470843</c:v>
                </c:pt>
                <c:pt idx="65">
                  <c:v>6673191.9946678774</c:v>
                </c:pt>
                <c:pt idx="66">
                  <c:v>6586153.6048404584</c:v>
                </c:pt>
                <c:pt idx="67">
                  <c:v>6773704.9305156618</c:v>
                </c:pt>
                <c:pt idx="68">
                  <c:v>6804864.5100596389</c:v>
                </c:pt>
                <c:pt idx="69">
                  <c:v>6735332.2272253698</c:v>
                </c:pt>
                <c:pt idx="70">
                  <c:v>7059073.0214842195</c:v>
                </c:pt>
                <c:pt idx="71">
                  <c:v>7012839.0768660819</c:v>
                </c:pt>
                <c:pt idx="72">
                  <c:v>7039276.3201319277</c:v>
                </c:pt>
                <c:pt idx="73">
                  <c:v>6929246.6491679652</c:v>
                </c:pt>
                <c:pt idx="74">
                  <c:v>7073784.6608018661</c:v>
                </c:pt>
                <c:pt idx="75">
                  <c:v>7105187.2435243716</c:v>
                </c:pt>
                <c:pt idx="76">
                  <c:v>7211592.8308298523</c:v>
                </c:pt>
                <c:pt idx="77">
                  <c:v>7197959.6843315009</c:v>
                </c:pt>
                <c:pt idx="78">
                  <c:v>7144579.3761875955</c:v>
                </c:pt>
                <c:pt idx="79">
                  <c:v>7321066.2922637416</c:v>
                </c:pt>
                <c:pt idx="80">
                  <c:v>7556868.9128039656</c:v>
                </c:pt>
                <c:pt idx="81">
                  <c:v>7603276.1628844189</c:v>
                </c:pt>
                <c:pt idx="82">
                  <c:v>7689128.4043065114</c:v>
                </c:pt>
                <c:pt idx="83">
                  <c:v>7346900.5789955854</c:v>
                </c:pt>
                <c:pt idx="84">
                  <c:v>7502133.8354112618</c:v>
                </c:pt>
                <c:pt idx="85">
                  <c:v>7655162.8394517982</c:v>
                </c:pt>
                <c:pt idx="86">
                  <c:v>7641842.1603465108</c:v>
                </c:pt>
                <c:pt idx="87">
                  <c:v>7693425.5756212128</c:v>
                </c:pt>
                <c:pt idx="88">
                  <c:v>7806472.2007496813</c:v>
                </c:pt>
                <c:pt idx="89">
                  <c:v>7551319.7285654079</c:v>
                </c:pt>
                <c:pt idx="90">
                  <c:v>7801780.1522630556</c:v>
                </c:pt>
                <c:pt idx="91">
                  <c:v>7794863.8530915659</c:v>
                </c:pt>
                <c:pt idx="92">
                  <c:v>8085996.558215417</c:v>
                </c:pt>
                <c:pt idx="93">
                  <c:v>7800044.0870755864</c:v>
                </c:pt>
                <c:pt idx="94">
                  <c:v>7756167.3717926564</c:v>
                </c:pt>
                <c:pt idx="95">
                  <c:v>7976317.0132008493</c:v>
                </c:pt>
                <c:pt idx="96">
                  <c:v>8215995.7089688331</c:v>
                </c:pt>
                <c:pt idx="97">
                  <c:v>8055034.1466428908</c:v>
                </c:pt>
                <c:pt idx="98">
                  <c:v>8086033.2066941252</c:v>
                </c:pt>
                <c:pt idx="99">
                  <c:v>7943310.5001546917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40D-48CE-97A9-677BDA8DEDD5}"/>
            </c:ext>
          </c:extLst>
        </c:ser>
        <c:ser>
          <c:idx val="8"/>
          <c:order val="8"/>
          <c:tx>
            <c:strRef>
              <c:f>'Solutions and last graphs'!$J$146</c:f>
              <c:strCache>
                <c:ptCount val="1"/>
                <c:pt idx="0">
                  <c:v>PF 0.995</c:v>
                </c:pt>
              </c:strCache>
            </c:strRef>
          </c:tx>
          <c:spPr>
            <a:ln w="28575" cap="rnd">
              <a:solidFill>
                <a:srgbClr val="92D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'Solutions and last graphs'!$A$147:$A$246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'Solutions and last graphs'!$J$147:$J$246</c:f>
              <c:numCache>
                <c:formatCode>General</c:formatCode>
                <c:ptCount val="100"/>
                <c:pt idx="0">
                  <c:v>840328.84262608818</c:v>
                </c:pt>
                <c:pt idx="1">
                  <c:v>1166183.7054348229</c:v>
                </c:pt>
                <c:pt idx="2">
                  <c:v>1403798.5619675044</c:v>
                </c:pt>
                <c:pt idx="3">
                  <c:v>1657455.4464770171</c:v>
                </c:pt>
                <c:pt idx="4">
                  <c:v>1887907.5286125839</c:v>
                </c:pt>
                <c:pt idx="5">
                  <c:v>1981877.0584583022</c:v>
                </c:pt>
                <c:pt idx="6">
                  <c:v>2214761.2079844638</c:v>
                </c:pt>
                <c:pt idx="7">
                  <c:v>2359570.471571099</c:v>
                </c:pt>
                <c:pt idx="8">
                  <c:v>2478145.6605737628</c:v>
                </c:pt>
                <c:pt idx="9">
                  <c:v>2687517.7565992582</c:v>
                </c:pt>
                <c:pt idx="10">
                  <c:v>2766088.3926722943</c:v>
                </c:pt>
                <c:pt idx="11">
                  <c:v>2890182.778430101</c:v>
                </c:pt>
                <c:pt idx="12">
                  <c:v>2959363.201782071</c:v>
                </c:pt>
                <c:pt idx="13">
                  <c:v>3133236.7057900839</c:v>
                </c:pt>
                <c:pt idx="14">
                  <c:v>3345251.9566753646</c:v>
                </c:pt>
                <c:pt idx="15">
                  <c:v>3375054.9992377036</c:v>
                </c:pt>
                <c:pt idx="16">
                  <c:v>3518154.1739039179</c:v>
                </c:pt>
                <c:pt idx="17">
                  <c:v>3483710.6235706257</c:v>
                </c:pt>
                <c:pt idx="18">
                  <c:v>3725405.9322524583</c:v>
                </c:pt>
                <c:pt idx="19">
                  <c:v>3780616.865162719</c:v>
                </c:pt>
                <c:pt idx="20">
                  <c:v>3817229.4914998878</c:v>
                </c:pt>
                <c:pt idx="21">
                  <c:v>3990911.0327091534</c:v>
                </c:pt>
                <c:pt idx="22">
                  <c:v>3944853.6541097905</c:v>
                </c:pt>
                <c:pt idx="23">
                  <c:v>4303107.114490943</c:v>
                </c:pt>
                <c:pt idx="24">
                  <c:v>4016051.9094484746</c:v>
                </c:pt>
                <c:pt idx="25">
                  <c:v>4351628.9397100536</c:v>
                </c:pt>
                <c:pt idx="26">
                  <c:v>4330724.5031345552</c:v>
                </c:pt>
                <c:pt idx="27">
                  <c:v>4480618.8593077492</c:v>
                </c:pt>
                <c:pt idx="28">
                  <c:v>4522650.408824631</c:v>
                </c:pt>
                <c:pt idx="29">
                  <c:v>4671389.4992857045</c:v>
                </c:pt>
                <c:pt idx="30">
                  <c:v>4708028.7726227241</c:v>
                </c:pt>
                <c:pt idx="31">
                  <c:v>4795973.4648665506</c:v>
                </c:pt>
                <c:pt idx="32">
                  <c:v>4789021.4705720628</c:v>
                </c:pt>
                <c:pt idx="33">
                  <c:v>4854057.1060487116</c:v>
                </c:pt>
                <c:pt idx="34">
                  <c:v>5018971.6059262566</c:v>
                </c:pt>
                <c:pt idx="35">
                  <c:v>5014954.7628950868</c:v>
                </c:pt>
                <c:pt idx="36">
                  <c:v>5249012.6504817782</c:v>
                </c:pt>
                <c:pt idx="37">
                  <c:v>5257647.6574547077</c:v>
                </c:pt>
                <c:pt idx="38">
                  <c:v>5210560.4866346484</c:v>
                </c:pt>
                <c:pt idx="39">
                  <c:v>5298184.2480802592</c:v>
                </c:pt>
                <c:pt idx="40">
                  <c:v>5352453.4812618736</c:v>
                </c:pt>
                <c:pt idx="41">
                  <c:v>5473452.8499930212</c:v>
                </c:pt>
                <c:pt idx="42">
                  <c:v>5779354.2267022654</c:v>
                </c:pt>
                <c:pt idx="43">
                  <c:v>5666686.9399750298</c:v>
                </c:pt>
                <c:pt idx="44">
                  <c:v>5636823.5942353131</c:v>
                </c:pt>
                <c:pt idx="45">
                  <c:v>5571516.9500092929</c:v>
                </c:pt>
                <c:pt idx="46">
                  <c:v>5763911.1832344849</c:v>
                </c:pt>
                <c:pt idx="47">
                  <c:v>5767731.6927774707</c:v>
                </c:pt>
                <c:pt idx="48">
                  <c:v>5914133.1323900484</c:v>
                </c:pt>
                <c:pt idx="49">
                  <c:v>5889976.5944691859</c:v>
                </c:pt>
                <c:pt idx="50">
                  <c:v>6132030.8547880091</c:v>
                </c:pt>
                <c:pt idx="51">
                  <c:v>5863034.2889911449</c:v>
                </c:pt>
                <c:pt idx="52">
                  <c:v>6225833.4869359592</c:v>
                </c:pt>
                <c:pt idx="53">
                  <c:v>6245630.6427225126</c:v>
                </c:pt>
                <c:pt idx="54">
                  <c:v>6336941.7747573406</c:v>
                </c:pt>
                <c:pt idx="55">
                  <c:v>6282714.5692831343</c:v>
                </c:pt>
                <c:pt idx="56">
                  <c:v>6494216.114922286</c:v>
                </c:pt>
                <c:pt idx="57">
                  <c:v>6334718.9342279313</c:v>
                </c:pt>
                <c:pt idx="58">
                  <c:v>6441300.1071005352</c:v>
                </c:pt>
                <c:pt idx="59">
                  <c:v>6319510.2732004402</c:v>
                </c:pt>
                <c:pt idx="60">
                  <c:v>6739952.6312792944</c:v>
                </c:pt>
                <c:pt idx="61">
                  <c:v>6629647.3774417043</c:v>
                </c:pt>
                <c:pt idx="62">
                  <c:v>6657208.1438715467</c:v>
                </c:pt>
                <c:pt idx="63">
                  <c:v>6800808.6361480905</c:v>
                </c:pt>
                <c:pt idx="64">
                  <c:v>6662709.3467065245</c:v>
                </c:pt>
                <c:pt idx="65">
                  <c:v>6819307.7200241862</c:v>
                </c:pt>
                <c:pt idx="66">
                  <c:v>6794993.6483652871</c:v>
                </c:pt>
                <c:pt idx="67">
                  <c:v>6858785.9431307279</c:v>
                </c:pt>
                <c:pt idx="68">
                  <c:v>6921928.0117515884</c:v>
                </c:pt>
                <c:pt idx="69">
                  <c:v>6822228.7396657467</c:v>
                </c:pt>
                <c:pt idx="70">
                  <c:v>7250583.9359335443</c:v>
                </c:pt>
                <c:pt idx="71">
                  <c:v>7248857.2185337981</c:v>
                </c:pt>
                <c:pt idx="72">
                  <c:v>7271834.1252437895</c:v>
                </c:pt>
                <c:pt idx="73">
                  <c:v>7288074.9864266943</c:v>
                </c:pt>
                <c:pt idx="74">
                  <c:v>7279538.6339303833</c:v>
                </c:pt>
                <c:pt idx="75">
                  <c:v>7396286.0702106711</c:v>
                </c:pt>
                <c:pt idx="76">
                  <c:v>7377085.3866012422</c:v>
                </c:pt>
                <c:pt idx="77">
                  <c:v>7466287.9167814134</c:v>
                </c:pt>
                <c:pt idx="78">
                  <c:v>7421304.2179048965</c:v>
                </c:pt>
                <c:pt idx="79">
                  <c:v>7475542.8605056815</c:v>
                </c:pt>
                <c:pt idx="80">
                  <c:v>7497558.0154341916</c:v>
                </c:pt>
                <c:pt idx="81">
                  <c:v>7751509.2506459663</c:v>
                </c:pt>
                <c:pt idx="82">
                  <c:v>7668421.2038381947</c:v>
                </c:pt>
                <c:pt idx="83">
                  <c:v>7675320.4711014079</c:v>
                </c:pt>
                <c:pt idx="84">
                  <c:v>7702708.7008090699</c:v>
                </c:pt>
                <c:pt idx="85">
                  <c:v>7818820.9164318331</c:v>
                </c:pt>
                <c:pt idx="86">
                  <c:v>7546211.7515439633</c:v>
                </c:pt>
                <c:pt idx="87">
                  <c:v>7844630.7389707835</c:v>
                </c:pt>
                <c:pt idx="88">
                  <c:v>7980134.3066642601</c:v>
                </c:pt>
                <c:pt idx="89">
                  <c:v>7743063.3583730413</c:v>
                </c:pt>
                <c:pt idx="90">
                  <c:v>8101749.0931794196</c:v>
                </c:pt>
                <c:pt idx="91">
                  <c:v>8087133.7708823374</c:v>
                </c:pt>
                <c:pt idx="92">
                  <c:v>8421485.1369950157</c:v>
                </c:pt>
                <c:pt idx="93">
                  <c:v>8200774.966557269</c:v>
                </c:pt>
                <c:pt idx="94">
                  <c:v>8184613.4443752179</c:v>
                </c:pt>
                <c:pt idx="95">
                  <c:v>8177468.8803302366</c:v>
                </c:pt>
                <c:pt idx="96">
                  <c:v>7953666.6170680057</c:v>
                </c:pt>
                <c:pt idx="97">
                  <c:v>8424660.0804140922</c:v>
                </c:pt>
                <c:pt idx="98">
                  <c:v>8419699.9381941706</c:v>
                </c:pt>
                <c:pt idx="99">
                  <c:v>8444221.3888455182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40D-48CE-97A9-677BDA8DE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4369056"/>
        <c:axId val="634373976"/>
      </c:lineChart>
      <c:catAx>
        <c:axId val="634369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in 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373976"/>
        <c:crosses val="autoZero"/>
        <c:auto val="1"/>
        <c:lblAlgn val="ctr"/>
        <c:lblOffset val="100"/>
        <c:noMultiLvlLbl val="0"/>
      </c:catAx>
      <c:valAx>
        <c:axId val="634373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Potential Loss USD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369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448964126872143"/>
          <c:y val="9.0907545700868952E-2"/>
          <c:w val="0.10863781829129344"/>
          <c:h val="0.799977474618835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Historical Simulation Method</a:t>
            </a:r>
            <a:r>
              <a:rPr lang="en-US" baseline="0"/>
              <a:t> Value at Risk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54335562219294"/>
          <c:y val="0.10390696834772527"/>
          <c:w val="0.76490644551396714"/>
          <c:h val="0.78490214882287412"/>
        </c:manualLayout>
      </c:layout>
      <c:lineChart>
        <c:grouping val="standard"/>
        <c:varyColors val="0"/>
        <c:ser>
          <c:idx val="0"/>
          <c:order val="0"/>
          <c:tx>
            <c:strRef>
              <c:f>'Solutions and last graphs'!$CQ$5</c:f>
              <c:strCache>
                <c:ptCount val="1"/>
                <c:pt idx="0">
                  <c:v>ENPH 0.95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'Solutions and last graphs'!$CP$6:$CP$105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'Solutions and last graphs'!$CQ$6:$CQ$105</c:f>
              <c:numCache>
                <c:formatCode>General</c:formatCode>
                <c:ptCount val="100"/>
                <c:pt idx="0">
                  <c:v>32322.0629594905</c:v>
                </c:pt>
                <c:pt idx="1">
                  <c:v>45710.299801188528</c:v>
                </c:pt>
                <c:pt idx="2">
                  <c:v>55983.455251277614</c:v>
                </c:pt>
                <c:pt idx="3">
                  <c:v>64644.125918981001</c:v>
                </c:pt>
                <c:pt idx="4">
                  <c:v>72274.329950448795</c:v>
                </c:pt>
                <c:pt idx="5">
                  <c:v>79172.561684864064</c:v>
                </c:pt>
                <c:pt idx="6">
                  <c:v>85516.140451384243</c:v>
                </c:pt>
                <c:pt idx="7">
                  <c:v>91420.599602377057</c:v>
                </c:pt>
                <c:pt idx="8">
                  <c:v>96966.188878471497</c:v>
                </c:pt>
                <c:pt idx="9">
                  <c:v>102211.33762735267</c:v>
                </c:pt>
                <c:pt idx="10">
                  <c:v>107200.15528687421</c:v>
                </c:pt>
                <c:pt idx="11">
                  <c:v>111966.91050255523</c:v>
                </c:pt>
                <c:pt idx="12">
                  <c:v>116538.85532921834</c:v>
                </c:pt>
                <c:pt idx="13">
                  <c:v>120938.08562815003</c:v>
                </c:pt>
                <c:pt idx="14">
                  <c:v>125182.81155717433</c:v>
                </c:pt>
                <c:pt idx="15">
                  <c:v>129288.251837962</c:v>
                </c:pt>
                <c:pt idx="16">
                  <c:v>133267.2796198435</c:v>
                </c:pt>
                <c:pt idx="17">
                  <c:v>137130.89940356556</c:v>
                </c:pt>
                <c:pt idx="18">
                  <c:v>140888.60608717828</c:v>
                </c:pt>
                <c:pt idx="19">
                  <c:v>144548.65990089759</c:v>
                </c:pt>
                <c:pt idx="20">
                  <c:v>148118.30012899358</c:v>
                </c:pt>
                <c:pt idx="21">
                  <c:v>151603.91349519938</c:v>
                </c:pt>
                <c:pt idx="22">
                  <c:v>155011.16843962294</c:v>
                </c:pt>
                <c:pt idx="23">
                  <c:v>158345.12336972813</c:v>
                </c:pt>
                <c:pt idx="24">
                  <c:v>161610.31479745251</c:v>
                </c:pt>
                <c:pt idx="25">
                  <c:v>164810.82975001659</c:v>
                </c:pt>
                <c:pt idx="26">
                  <c:v>167950.36575383286</c:v>
                </c:pt>
                <c:pt idx="27">
                  <c:v>171032.28090276849</c:v>
                </c:pt>
                <c:pt idx="28">
                  <c:v>174059.63594343394</c:v>
                </c:pt>
                <c:pt idx="29">
                  <c:v>177035.22988015137</c:v>
                </c:pt>
                <c:pt idx="30">
                  <c:v>179961.63027899945</c:v>
                </c:pt>
                <c:pt idx="31">
                  <c:v>182841.19920475411</c:v>
                </c:pt>
                <c:pt idx="32">
                  <c:v>185676.11553613952</c:v>
                </c:pt>
                <c:pt idx="33">
                  <c:v>188468.39425895025</c:v>
                </c:pt>
                <c:pt idx="34">
                  <c:v>191219.9032227147</c:v>
                </c:pt>
                <c:pt idx="35">
                  <c:v>193932.37775694299</c:v>
                </c:pt>
                <c:pt idx="36">
                  <c:v>196607.43347192879</c:v>
                </c:pt>
                <c:pt idx="37">
                  <c:v>199246.57751232811</c:v>
                </c:pt>
                <c:pt idx="38">
                  <c:v>201851.21848612517</c:v>
                </c:pt>
                <c:pt idx="39">
                  <c:v>204422.67525470533</c:v>
                </c:pt>
                <c:pt idx="40">
                  <c:v>206962.18473974412</c:v>
                </c:pt>
                <c:pt idx="41">
                  <c:v>209470.90887807129</c:v>
                </c:pt>
                <c:pt idx="42">
                  <c:v>211949.94083547773</c:v>
                </c:pt>
                <c:pt idx="43">
                  <c:v>214400.31057374843</c:v>
                </c:pt>
                <c:pt idx="44">
                  <c:v>216822.98985134638</c:v>
                </c:pt>
                <c:pt idx="45">
                  <c:v>219218.89672661506</c:v>
                </c:pt>
                <c:pt idx="46">
                  <c:v>221588.89962268324</c:v>
                </c:pt>
                <c:pt idx="47">
                  <c:v>223933.82100511045</c:v>
                </c:pt>
                <c:pt idx="48">
                  <c:v>226254.44071643351</c:v>
                </c:pt>
                <c:pt idx="49">
                  <c:v>228551.49900594263</c:v>
                </c:pt>
                <c:pt idx="50">
                  <c:v>230825.69928805731</c:v>
                </c:pt>
                <c:pt idx="51">
                  <c:v>233077.71065843667</c:v>
                </c:pt>
                <c:pt idx="52">
                  <c:v>235308.17019333431</c:v>
                </c:pt>
                <c:pt idx="53">
                  <c:v>237517.68505459224</c:v>
                </c:pt>
                <c:pt idx="54">
                  <c:v>239706.83441998422</c:v>
                </c:pt>
                <c:pt idx="55">
                  <c:v>241876.17125630006</c:v>
                </c:pt>
                <c:pt idx="56">
                  <c:v>244026.22395055057</c:v>
                </c:pt>
                <c:pt idx="57">
                  <c:v>246157.49781292776</c:v>
                </c:pt>
                <c:pt idx="58">
                  <c:v>248270.47646363187</c:v>
                </c:pt>
                <c:pt idx="59">
                  <c:v>250365.62311434865</c:v>
                </c:pt>
                <c:pt idx="60">
                  <c:v>252443.38175399514</c:v>
                </c:pt>
                <c:pt idx="61">
                  <c:v>254504.17824733371</c:v>
                </c:pt>
                <c:pt idx="62">
                  <c:v>256548.4213541527</c:v>
                </c:pt>
                <c:pt idx="63">
                  <c:v>258576.503675924</c:v>
                </c:pt>
                <c:pt idx="64">
                  <c:v>260588.80253614581</c:v>
                </c:pt>
                <c:pt idx="65">
                  <c:v>262585.68079996231</c:v>
                </c:pt>
                <c:pt idx="66">
                  <c:v>264567.48763810145</c:v>
                </c:pt>
                <c:pt idx="67">
                  <c:v>266534.55923968699</c:v>
                </c:pt>
                <c:pt idx="68">
                  <c:v>268487.21947804419</c:v>
                </c:pt>
                <c:pt idx="69">
                  <c:v>270425.78053323383</c:v>
                </c:pt>
                <c:pt idx="70">
                  <c:v>272350.54347470286</c:v>
                </c:pt>
                <c:pt idx="71">
                  <c:v>274261.79880713113</c:v>
                </c:pt>
                <c:pt idx="72">
                  <c:v>276159.82698227587</c:v>
                </c:pt>
                <c:pt idx="73">
                  <c:v>278044.89887936768</c:v>
                </c:pt>
                <c:pt idx="74">
                  <c:v>279917.27625638811</c:v>
                </c:pt>
                <c:pt idx="75">
                  <c:v>281777.21217435657</c:v>
                </c:pt>
                <c:pt idx="76">
                  <c:v>283624.9513965752</c:v>
                </c:pt>
                <c:pt idx="77">
                  <c:v>285460.73076461308</c:v>
                </c:pt>
                <c:pt idx="78">
                  <c:v>287284.77955266641</c:v>
                </c:pt>
                <c:pt idx="79">
                  <c:v>289097.31980179518</c:v>
                </c:pt>
                <c:pt idx="80">
                  <c:v>290898.56663541449</c:v>
                </c:pt>
                <c:pt idx="81">
                  <c:v>292688.72855731216</c:v>
                </c:pt>
                <c:pt idx="82">
                  <c:v>294468.00773335842</c:v>
                </c:pt>
                <c:pt idx="83">
                  <c:v>296236.60025798716</c:v>
                </c:pt>
                <c:pt idx="84">
                  <c:v>297994.69640644238</c:v>
                </c:pt>
                <c:pt idx="85">
                  <c:v>299742.48087370774</c:v>
                </c:pt>
                <c:pt idx="86">
                  <c:v>301480.1330009696</c:v>
                </c:pt>
                <c:pt idx="87">
                  <c:v>303207.82699039875</c:v>
                </c:pt>
                <c:pt idx="88">
                  <c:v>304925.73210897902</c:v>
                </c:pt>
                <c:pt idx="89">
                  <c:v>306634.01288205798</c:v>
                </c:pt>
                <c:pt idx="90">
                  <c:v>308332.82927724608</c:v>
                </c:pt>
                <c:pt idx="91">
                  <c:v>310022.33687924588</c:v>
                </c:pt>
                <c:pt idx="92">
                  <c:v>311702.68705615279</c:v>
                </c:pt>
                <c:pt idx="93">
                  <c:v>313374.02711772907</c:v>
                </c:pt>
                <c:pt idx="94">
                  <c:v>315036.50046612124</c:v>
                </c:pt>
                <c:pt idx="95">
                  <c:v>316690.24673945626</c:v>
                </c:pt>
                <c:pt idx="96">
                  <c:v>318335.40194872289</c:v>
                </c:pt>
                <c:pt idx="97">
                  <c:v>319972.09860831965</c:v>
                </c:pt>
                <c:pt idx="98">
                  <c:v>321600.46586062264</c:v>
                </c:pt>
                <c:pt idx="99">
                  <c:v>323220.62959490501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0D-48CE-97A9-677BDA8DEDD5}"/>
            </c:ext>
          </c:extLst>
        </c:ser>
        <c:ser>
          <c:idx val="1"/>
          <c:order val="1"/>
          <c:tx>
            <c:strRef>
              <c:f>'Solutions and last graphs'!$CR$5</c:f>
              <c:strCache>
                <c:ptCount val="1"/>
                <c:pt idx="0">
                  <c:v>ENPH 0.99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'Solutions and last graphs'!$CP$6:$CP$105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'Solutions and last graphs'!$CR$6:$CR$105</c:f>
              <c:numCache>
                <c:formatCode>General</c:formatCode>
                <c:ptCount val="100"/>
                <c:pt idx="0">
                  <c:v>55558.82449267256</c:v>
                </c:pt>
                <c:pt idx="1">
                  <c:v>78572.043107044039</c:v>
                </c:pt>
                <c:pt idx="2">
                  <c:v>96230.706830111027</c:v>
                </c:pt>
                <c:pt idx="3">
                  <c:v>111117.64898534512</c:v>
                </c:pt>
                <c:pt idx="4">
                  <c:v>124233.30831559612</c:v>
                </c:pt>
                <c:pt idx="5">
                  <c:v>136090.77071589223</c:v>
                </c:pt>
                <c:pt idx="6">
                  <c:v>146994.83274269593</c:v>
                </c:pt>
                <c:pt idx="7">
                  <c:v>157144.08621408808</c:v>
                </c:pt>
                <c:pt idx="8">
                  <c:v>166676.47347801767</c:v>
                </c:pt>
                <c:pt idx="9">
                  <c:v>175692.42951839423</c:v>
                </c:pt>
                <c:pt idx="10">
                  <c:v>184267.77463540257</c:v>
                </c:pt>
                <c:pt idx="11">
                  <c:v>192461.41366022205</c:v>
                </c:pt>
                <c:pt idx="12">
                  <c:v>200320.19051283546</c:v>
                </c:pt>
                <c:pt idx="13">
                  <c:v>207882.08606348527</c:v>
                </c:pt>
                <c:pt idx="14">
                  <c:v>215178.40199498157</c:v>
                </c:pt>
                <c:pt idx="15">
                  <c:v>222235.29797069024</c:v>
                </c:pt>
                <c:pt idx="16">
                  <c:v>229074.90181844251</c:v>
                </c:pt>
                <c:pt idx="17">
                  <c:v>235716.12932113206</c:v>
                </c:pt>
                <c:pt idx="18">
                  <c:v>242175.30138547215</c:v>
                </c:pt>
                <c:pt idx="19">
                  <c:v>248466.61663119224</c:v>
                </c:pt>
                <c:pt idx="20">
                  <c:v>254602.51876043848</c:v>
                </c:pt>
                <c:pt idx="21">
                  <c:v>260593.98599769533</c:v>
                </c:pt>
                <c:pt idx="22">
                  <c:v>266450.76190015784</c:v>
                </c:pt>
                <c:pt idx="23">
                  <c:v>272181.54143178446</c:v>
                </c:pt>
                <c:pt idx="24">
                  <c:v>277794.12246336282</c:v>
                </c:pt>
                <c:pt idx="25">
                  <c:v>283295.53024041414</c:v>
                </c:pt>
                <c:pt idx="26">
                  <c:v>288692.12049033307</c:v>
                </c:pt>
                <c:pt idx="27">
                  <c:v>293989.66548539186</c:v>
                </c:pt>
                <c:pt idx="28">
                  <c:v>299193.42638370278</c:v>
                </c:pt>
                <c:pt idx="29">
                  <c:v>304308.21443107276</c:v>
                </c:pt>
                <c:pt idx="30">
                  <c:v>309338.44305103004</c:v>
                </c:pt>
                <c:pt idx="31">
                  <c:v>314288.17242817616</c:v>
                </c:pt>
                <c:pt idx="32">
                  <c:v>319161.14786616893</c:v>
                </c:pt>
                <c:pt idx="33">
                  <c:v>323960.83295092656</c:v>
                </c:pt>
                <c:pt idx="34">
                  <c:v>328690.4383538799</c:v>
                </c:pt>
                <c:pt idx="35">
                  <c:v>333352.94695603533</c:v>
                </c:pt>
                <c:pt idx="36">
                  <c:v>337951.13585144363</c:v>
                </c:pt>
                <c:pt idx="37">
                  <c:v>342487.59569112642</c:v>
                </c:pt>
                <c:pt idx="38">
                  <c:v>346964.74775010807</c:v>
                </c:pt>
                <c:pt idx="39">
                  <c:v>351384.85903678846</c:v>
                </c:pt>
                <c:pt idx="40">
                  <c:v>355750.05571230943</c:v>
                </c:pt>
                <c:pt idx="41">
                  <c:v>360062.33504536253</c:v>
                </c:pt>
                <c:pt idx="42">
                  <c:v>364323.57609318459</c:v>
                </c:pt>
                <c:pt idx="43">
                  <c:v>368535.54927080515</c:v>
                </c:pt>
                <c:pt idx="44">
                  <c:v>372699.92494678835</c:v>
                </c:pt>
                <c:pt idx="45">
                  <c:v>376818.28118384763</c:v>
                </c:pt>
                <c:pt idx="46">
                  <c:v>380892.11072606483</c:v>
                </c:pt>
                <c:pt idx="47">
                  <c:v>384922.82732044411</c:v>
                </c:pt>
                <c:pt idx="48">
                  <c:v>388911.77144870791</c:v>
                </c:pt>
                <c:pt idx="49">
                  <c:v>392860.21553522017</c:v>
                </c:pt>
                <c:pt idx="50">
                  <c:v>396769.36868839461</c:v>
                </c:pt>
                <c:pt idx="51">
                  <c:v>400640.38102567091</c:v>
                </c:pt>
                <c:pt idx="52">
                  <c:v>404474.34762590617</c:v>
                </c:pt>
                <c:pt idx="53">
                  <c:v>408272.31214767677</c:v>
                </c:pt>
                <c:pt idx="54">
                  <c:v>412035.27014737169</c:v>
                </c:pt>
                <c:pt idx="55">
                  <c:v>415764.17212697054</c:v>
                </c:pt>
                <c:pt idx="56">
                  <c:v>419459.92633794324</c:v>
                </c:pt>
                <c:pt idx="57">
                  <c:v>423123.40136470873</c:v>
                </c:pt>
                <c:pt idx="58">
                  <c:v>426755.42850847013</c:v>
                </c:pt>
                <c:pt idx="59">
                  <c:v>430356.80398996314</c:v>
                </c:pt>
                <c:pt idx="60">
                  <c:v>433928.29098765051</c:v>
                </c:pt>
                <c:pt idx="61">
                  <c:v>437470.62152614398</c:v>
                </c:pt>
                <c:pt idx="62">
                  <c:v>440984.49822808779</c:v>
                </c:pt>
                <c:pt idx="63">
                  <c:v>444470.59594138048</c:v>
                </c:pt>
                <c:pt idx="64">
                  <c:v>447929.56325240858</c:v>
                </c:pt>
                <c:pt idx="65">
                  <c:v>451362.02389490092</c:v>
                </c:pt>
                <c:pt idx="66">
                  <c:v>454768.57806307235</c:v>
                </c:pt>
                <c:pt idx="67">
                  <c:v>458149.80363688502</c:v>
                </c:pt>
                <c:pt idx="68">
                  <c:v>461506.25732651108</c:v>
                </c:pt>
                <c:pt idx="69">
                  <c:v>464838.47574241471</c:v>
                </c:pt>
                <c:pt idx="70">
                  <c:v>468146.97639687802</c:v>
                </c:pt>
                <c:pt idx="71">
                  <c:v>471432.25864226412</c:v>
                </c:pt>
                <c:pt idx="72">
                  <c:v>474694.80455083371</c:v>
                </c:pt>
                <c:pt idx="73">
                  <c:v>477935.07974050392</c:v>
                </c:pt>
                <c:pt idx="74">
                  <c:v>481153.53415055521</c:v>
                </c:pt>
                <c:pt idx="75">
                  <c:v>484350.6027709443</c:v>
                </c:pt>
                <c:pt idx="76">
                  <c:v>487526.7063285709</c:v>
                </c:pt>
                <c:pt idx="77">
                  <c:v>490682.25193356263</c:v>
                </c:pt>
                <c:pt idx="78">
                  <c:v>493817.63368838886</c:v>
                </c:pt>
                <c:pt idx="79">
                  <c:v>496933.23326238448</c:v>
                </c:pt>
                <c:pt idx="80">
                  <c:v>500029.42043405306</c:v>
                </c:pt>
                <c:pt idx="81">
                  <c:v>503106.55360333226</c:v>
                </c:pt>
                <c:pt idx="82">
                  <c:v>506164.9802758288</c:v>
                </c:pt>
                <c:pt idx="83">
                  <c:v>509205.03752087697</c:v>
                </c:pt>
                <c:pt idx="84">
                  <c:v>512227.05240512762</c:v>
                </c:pt>
                <c:pt idx="85">
                  <c:v>515231.34240324795</c:v>
                </c:pt>
                <c:pt idx="86">
                  <c:v>518218.21578719188</c:v>
                </c:pt>
                <c:pt idx="87">
                  <c:v>521187.97199539066</c:v>
                </c:pt>
                <c:pt idx="88">
                  <c:v>524140.90198311722</c:v>
                </c:pt>
                <c:pt idx="89">
                  <c:v>527077.28855518275</c:v>
                </c:pt>
                <c:pt idx="90">
                  <c:v>529997.40668204299</c:v>
                </c:pt>
                <c:pt idx="91">
                  <c:v>532901.52380031568</c:v>
                </c:pt>
                <c:pt idx="92">
                  <c:v>535789.90009863582</c:v>
                </c:pt>
                <c:pt idx="93">
                  <c:v>538662.78878971562</c:v>
                </c:pt>
                <c:pt idx="94">
                  <c:v>541520.43636941467</c:v>
                </c:pt>
                <c:pt idx="95">
                  <c:v>544363.08286356891</c:v>
                </c:pt>
                <c:pt idx="96">
                  <c:v>547190.96206327865</c:v>
                </c:pt>
                <c:pt idx="97">
                  <c:v>550004.30174930824</c:v>
                </c:pt>
                <c:pt idx="98">
                  <c:v>552803.32390620769</c:v>
                </c:pt>
                <c:pt idx="99">
                  <c:v>555588.24492672563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0D-48CE-97A9-677BDA8DEDD5}"/>
            </c:ext>
          </c:extLst>
        </c:ser>
        <c:ser>
          <c:idx val="2"/>
          <c:order val="2"/>
          <c:tx>
            <c:strRef>
              <c:f>'Solutions and last graphs'!$CS$5</c:f>
              <c:strCache>
                <c:ptCount val="1"/>
                <c:pt idx="0">
                  <c:v>ENPH 0.995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'Solutions and last graphs'!$CP$6:$CP$105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'Solutions and last graphs'!$CS$6:$CS$105</c:f>
              <c:numCache>
                <c:formatCode>General</c:formatCode>
                <c:ptCount val="100"/>
                <c:pt idx="0">
                  <c:v>60048.258796693313</c:v>
                </c:pt>
                <c:pt idx="1">
                  <c:v>84921.061987173205</c:v>
                </c:pt>
                <c:pt idx="2">
                  <c:v>104006.63514191759</c:v>
                </c:pt>
                <c:pt idx="3">
                  <c:v>120096.51759338663</c:v>
                </c:pt>
                <c:pt idx="4">
                  <c:v>134271.98859990598</c:v>
                </c:pt>
                <c:pt idx="5">
                  <c:v>147087.59399449002</c:v>
                </c:pt>
                <c:pt idx="6">
                  <c:v>158872.75943849719</c:v>
                </c:pt>
                <c:pt idx="7">
                  <c:v>169842.12397434641</c:v>
                </c:pt>
                <c:pt idx="8">
                  <c:v>180144.77639007993</c:v>
                </c:pt>
                <c:pt idx="9">
                  <c:v>189889.26732479266</c:v>
                </c:pt>
                <c:pt idx="10">
                  <c:v>199157.54374278974</c:v>
                </c:pt>
                <c:pt idx="11">
                  <c:v>208013.27028383518</c:v>
                </c:pt>
                <c:pt idx="12">
                  <c:v>216507.07609380927</c:v>
                </c:pt>
                <c:pt idx="13">
                  <c:v>224680.01108956084</c:v>
                </c:pt>
                <c:pt idx="14">
                  <c:v>232565.90628834625</c:v>
                </c:pt>
                <c:pt idx="15">
                  <c:v>240193.03518677325</c:v>
                </c:pt>
                <c:pt idx="16">
                  <c:v>247585.31365319138</c:v>
                </c:pt>
                <c:pt idx="17">
                  <c:v>254763.18596151954</c:v>
                </c:pt>
                <c:pt idx="18">
                  <c:v>261744.29183036348</c:v>
                </c:pt>
                <c:pt idx="19">
                  <c:v>268543.97719981195</c:v>
                </c:pt>
                <c:pt idx="20">
                  <c:v>275175.69128614501</c:v>
                </c:pt>
                <c:pt idx="21">
                  <c:v>281651.29940996622</c:v>
                </c:pt>
                <c:pt idx="22">
                  <c:v>287981.3324572221</c:v>
                </c:pt>
                <c:pt idx="23">
                  <c:v>294175.18798898003</c:v>
                </c:pt>
                <c:pt idx="24">
                  <c:v>300241.29398346657</c:v>
                </c:pt>
                <c:pt idx="25">
                  <c:v>306187.24336160877</c:v>
                </c:pt>
                <c:pt idx="26">
                  <c:v>312019.9054257528</c:v>
                </c:pt>
                <c:pt idx="27">
                  <c:v>317745.51887699438</c:v>
                </c:pt>
                <c:pt idx="28">
                  <c:v>323369.77000165771</c:v>
                </c:pt>
                <c:pt idx="29">
                  <c:v>328897.85881856951</c:v>
                </c:pt>
                <c:pt idx="30">
                  <c:v>334334.55537822336</c:v>
                </c:pt>
                <c:pt idx="31">
                  <c:v>339684.24794869282</c:v>
                </c:pt>
                <c:pt idx="32">
                  <c:v>344950.98447313299</c:v>
                </c:pt>
                <c:pt idx="33">
                  <c:v>350138.5084127399</c:v>
                </c:pt>
                <c:pt idx="34">
                  <c:v>355250.28987745097</c:v>
                </c:pt>
                <c:pt idx="35">
                  <c:v>360289.55278015987</c:v>
                </c:pt>
                <c:pt idx="36">
                  <c:v>365259.29861817654</c:v>
                </c:pt>
                <c:pt idx="37">
                  <c:v>370162.32738024124</c:v>
                </c:pt>
                <c:pt idx="38">
                  <c:v>375001.25599265873</c:v>
                </c:pt>
                <c:pt idx="39">
                  <c:v>379778.53464958532</c:v>
                </c:pt>
                <c:pt idx="40">
                  <c:v>384496.46131674718</c:v>
                </c:pt>
                <c:pt idx="41">
                  <c:v>389157.19465225819</c:v>
                </c:pt>
                <c:pt idx="42">
                  <c:v>393762.76555069321</c:v>
                </c:pt>
                <c:pt idx="43">
                  <c:v>398315.08748557948</c:v>
                </c:pt>
                <c:pt idx="44">
                  <c:v>402815.96579971793</c:v>
                </c:pt>
                <c:pt idx="45">
                  <c:v>407267.10607127869</c:v>
                </c:pt>
                <c:pt idx="46">
                  <c:v>411670.12166562298</c:v>
                </c:pt>
                <c:pt idx="47">
                  <c:v>416026.54056767037</c:v>
                </c:pt>
                <c:pt idx="48">
                  <c:v>420337.81157685322</c:v>
                </c:pt>
                <c:pt idx="49">
                  <c:v>424605.30993586598</c:v>
                </c:pt>
                <c:pt idx="50">
                  <c:v>428830.34245520394</c:v>
                </c:pt>
                <c:pt idx="51">
                  <c:v>433014.15218761854</c:v>
                </c:pt>
                <c:pt idx="52">
                  <c:v>437157.92269988282</c:v>
                </c:pt>
                <c:pt idx="53">
                  <c:v>441262.78198347008</c:v>
                </c:pt>
                <c:pt idx="54">
                  <c:v>445329.80604076578</c:v>
                </c:pt>
                <c:pt idx="55">
                  <c:v>449360.02217912168</c:v>
                </c:pt>
                <c:pt idx="56">
                  <c:v>453354.41204132489</c:v>
                </c:pt>
                <c:pt idx="57">
                  <c:v>457313.9143978128</c:v>
                </c:pt>
                <c:pt idx="58">
                  <c:v>461239.42772313458</c:v>
                </c:pt>
                <c:pt idx="59">
                  <c:v>465131.81257669249</c:v>
                </c:pt>
                <c:pt idx="60">
                  <c:v>468991.89380563283</c:v>
                </c:pt>
                <c:pt idx="61">
                  <c:v>472820.46258586214</c:v>
                </c:pt>
                <c:pt idx="62">
                  <c:v>476618.27831549151</c:v>
                </c:pt>
                <c:pt idx="63">
                  <c:v>480386.07037354651</c:v>
                </c:pt>
                <c:pt idx="64">
                  <c:v>484124.53975547716</c:v>
                </c:pt>
                <c:pt idx="65">
                  <c:v>487834.36059585563</c:v>
                </c:pt>
                <c:pt idx="66">
                  <c:v>491516.18158762786</c:v>
                </c:pt>
                <c:pt idx="67">
                  <c:v>495170.62730638275</c:v>
                </c:pt>
                <c:pt idx="68">
                  <c:v>498798.29944729287</c:v>
                </c:pt>
                <c:pt idx="69">
                  <c:v>502399.77798166464</c:v>
                </c:pt>
                <c:pt idx="70">
                  <c:v>505975.62223939266</c:v>
                </c:pt>
                <c:pt idx="71">
                  <c:v>509526.37192303909</c:v>
                </c:pt>
                <c:pt idx="72">
                  <c:v>513052.548058744</c:v>
                </c:pt>
                <c:pt idx="73">
                  <c:v>516554.65388870955</c:v>
                </c:pt>
                <c:pt idx="74">
                  <c:v>520033.17570958799</c:v>
                </c:pt>
                <c:pt idx="75">
                  <c:v>523488.58366072696</c:v>
                </c:pt>
                <c:pt idx="76">
                  <c:v>526921.33246588963</c:v>
                </c:pt>
                <c:pt idx="77">
                  <c:v>530331.8621317629</c:v>
                </c:pt>
                <c:pt idx="78">
                  <c:v>533720.59860629123</c:v>
                </c:pt>
                <c:pt idx="79">
                  <c:v>537087.95439962391</c:v>
                </c:pt>
                <c:pt idx="80">
                  <c:v>540434.32917023986</c:v>
                </c:pt>
                <c:pt idx="81">
                  <c:v>543760.11027860607</c:v>
                </c:pt>
                <c:pt idx="82">
                  <c:v>547065.67331054178</c:v>
                </c:pt>
                <c:pt idx="83">
                  <c:v>550351.38257229002</c:v>
                </c:pt>
                <c:pt idx="84">
                  <c:v>553617.59155914269</c:v>
                </c:pt>
                <c:pt idx="85">
                  <c:v>556864.64339932776</c:v>
                </c:pt>
                <c:pt idx="86">
                  <c:v>560092.87127473345</c:v>
                </c:pt>
                <c:pt idx="87">
                  <c:v>563302.59881993243</c:v>
                </c:pt>
                <c:pt idx="88">
                  <c:v>566494.14050085668</c:v>
                </c:pt>
                <c:pt idx="89">
                  <c:v>569667.80197437794</c:v>
                </c:pt>
                <c:pt idx="90">
                  <c:v>572823.88042995695</c:v>
                </c:pt>
                <c:pt idx="91">
                  <c:v>575962.66491444421</c:v>
                </c:pt>
                <c:pt idx="92">
                  <c:v>579084.43664103339</c:v>
                </c:pt>
                <c:pt idx="93">
                  <c:v>582189.46928330616</c:v>
                </c:pt>
                <c:pt idx="94">
                  <c:v>585278.02925523545</c:v>
                </c:pt>
                <c:pt idx="95">
                  <c:v>588350.37597796007</c:v>
                </c:pt>
                <c:pt idx="96">
                  <c:v>591406.76213408448</c:v>
                </c:pt>
                <c:pt idx="97">
                  <c:v>594447.43391021236</c:v>
                </c:pt>
                <c:pt idx="98">
                  <c:v>597472.63122836931</c:v>
                </c:pt>
                <c:pt idx="99">
                  <c:v>600482.58796693315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0D-48CE-97A9-677BDA8DEDD5}"/>
            </c:ext>
          </c:extLst>
        </c:ser>
        <c:ser>
          <c:idx val="3"/>
          <c:order val="3"/>
          <c:tx>
            <c:strRef>
              <c:f>'Solutions and last graphs'!$CT$5</c:f>
              <c:strCache>
                <c:ptCount val="1"/>
                <c:pt idx="0">
                  <c:v>SEDG 0.95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'Solutions and last graphs'!$CP$6:$CP$105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'Solutions and last graphs'!$CT$6:$CT$105</c:f>
              <c:numCache>
                <c:formatCode>General</c:formatCode>
                <c:ptCount val="100"/>
                <c:pt idx="0">
                  <c:v>29555.57522192557</c:v>
                </c:pt>
                <c:pt idx="1">
                  <c:v>41797.89532258534</c:v>
                </c:pt>
                <c:pt idx="2">
                  <c:v>51191.757931298882</c:v>
                </c:pt>
                <c:pt idx="3">
                  <c:v>59111.15044385114</c:v>
                </c:pt>
                <c:pt idx="4">
                  <c:v>66088.275310334007</c:v>
                </c:pt>
                <c:pt idx="5">
                  <c:v>72396.078348163326</c:v>
                </c:pt>
                <c:pt idx="6">
                  <c:v>78196.701892677709</c:v>
                </c:pt>
                <c:pt idx="7">
                  <c:v>83595.79064517068</c:v>
                </c:pt>
                <c:pt idx="8">
                  <c:v>88666.725665776714</c:v>
                </c:pt>
                <c:pt idx="9">
                  <c:v>93462.935257721329</c:v>
                </c:pt>
                <c:pt idx="10">
                  <c:v>98024.753474252138</c:v>
                </c:pt>
                <c:pt idx="11">
                  <c:v>102383.51586259776</c:v>
                </c:pt>
                <c:pt idx="12">
                  <c:v>106564.14193848561</c:v>
                </c:pt>
                <c:pt idx="13">
                  <c:v>110586.83634947069</c:v>
                </c:pt>
                <c:pt idx="14">
                  <c:v>114468.25062209832</c:v>
                </c:pt>
                <c:pt idx="15">
                  <c:v>118222.30088770228</c:v>
                </c:pt>
                <c:pt idx="16">
                  <c:v>121860.75846588725</c:v>
                </c:pt>
                <c:pt idx="17">
                  <c:v>125393.68596775601</c:v>
                </c:pt>
                <c:pt idx="18">
                  <c:v>128829.76561058829</c:v>
                </c:pt>
                <c:pt idx="19">
                  <c:v>132176.55062066801</c:v>
                </c:pt>
                <c:pt idx="20">
                  <c:v>135440.66066243517</c:v>
                </c:pt>
                <c:pt idx="21">
                  <c:v>138627.93581156657</c:v>
                </c:pt>
                <c:pt idx="22">
                  <c:v>141743.55933895096</c:v>
                </c:pt>
                <c:pt idx="23">
                  <c:v>144792.15669632665</c:v>
                </c:pt>
                <c:pt idx="24">
                  <c:v>147777.87610962786</c:v>
                </c:pt>
                <c:pt idx="25">
                  <c:v>150704.45479205786</c:v>
                </c:pt>
                <c:pt idx="26">
                  <c:v>153575.27379389666</c:v>
                </c:pt>
                <c:pt idx="27">
                  <c:v>156393.40378535542</c:v>
                </c:pt>
                <c:pt idx="28">
                  <c:v>159161.64353973014</c:v>
                </c:pt>
                <c:pt idx="29">
                  <c:v>161882.5524908939</c:v>
                </c:pt>
                <c:pt idx="30">
                  <c:v>164558.4784435792</c:v>
                </c:pt>
                <c:pt idx="31">
                  <c:v>167191.58129034136</c:v>
                </c:pt>
                <c:pt idx="32">
                  <c:v>169783.85341681854</c:v>
                </c:pt>
                <c:pt idx="33">
                  <c:v>172337.13734352973</c:v>
                </c:pt>
                <c:pt idx="34">
                  <c:v>174853.14104831382</c:v>
                </c:pt>
                <c:pt idx="35">
                  <c:v>177333.45133155343</c:v>
                </c:pt>
                <c:pt idx="36">
                  <c:v>179779.54552133934</c:v>
                </c:pt>
                <c:pt idx="37">
                  <c:v>182192.80176384089</c:v>
                </c:pt>
                <c:pt idx="38">
                  <c:v>184574.50810243847</c:v>
                </c:pt>
                <c:pt idx="39">
                  <c:v>186925.87051544266</c:v>
                </c:pt>
                <c:pt idx="40">
                  <c:v>189248.02005478137</c:v>
                </c:pt>
                <c:pt idx="41">
                  <c:v>191542.01920558797</c:v>
                </c:pt>
                <c:pt idx="42">
                  <c:v>193808.86756816038</c:v>
                </c:pt>
                <c:pt idx="43">
                  <c:v>196049.50694850428</c:v>
                </c:pt>
                <c:pt idx="44">
                  <c:v>198264.82593100204</c:v>
                </c:pt>
                <c:pt idx="45">
                  <c:v>200455.66399618005</c:v>
                </c:pt>
                <c:pt idx="46">
                  <c:v>202622.81523769314</c:v>
                </c:pt>
                <c:pt idx="47">
                  <c:v>204767.03172519553</c:v>
                </c:pt>
                <c:pt idx="48">
                  <c:v>206889.02655347899</c:v>
                </c:pt>
                <c:pt idx="49">
                  <c:v>208989.47661292669</c:v>
                </c:pt>
                <c:pt idx="50">
                  <c:v>211069.02511179593</c:v>
                </c:pt>
                <c:pt idx="51">
                  <c:v>213128.28387697123</c:v>
                </c:pt>
                <c:pt idx="52">
                  <c:v>215167.83545651459</c:v>
                </c:pt>
                <c:pt idx="53">
                  <c:v>217188.23504449002</c:v>
                </c:pt>
                <c:pt idx="54">
                  <c:v>219190.01224608647</c:v>
                </c:pt>
                <c:pt idx="55">
                  <c:v>221173.67269894137</c:v>
                </c:pt>
                <c:pt idx="56">
                  <c:v>223139.69956472859</c:v>
                </c:pt>
                <c:pt idx="57">
                  <c:v>225088.55490347848</c:v>
                </c:pt>
                <c:pt idx="58">
                  <c:v>227020.68094170437</c:v>
                </c:pt>
                <c:pt idx="59">
                  <c:v>228936.50124419664</c:v>
                </c:pt>
                <c:pt idx="60">
                  <c:v>230836.42179827893</c:v>
                </c:pt>
                <c:pt idx="61">
                  <c:v>232720.83201839033</c:v>
                </c:pt>
                <c:pt idx="62">
                  <c:v>234590.10567803311</c:v>
                </c:pt>
                <c:pt idx="63">
                  <c:v>236444.60177540456</c:v>
                </c:pt>
                <c:pt idx="64">
                  <c:v>238284.66533839004</c:v>
                </c:pt>
                <c:pt idx="65">
                  <c:v>240110.62817403034</c:v>
                </c:pt>
                <c:pt idx="66">
                  <c:v>241922.80956707319</c:v>
                </c:pt>
                <c:pt idx="67">
                  <c:v>243721.5169317745</c:v>
                </c:pt>
                <c:pt idx="68">
                  <c:v>245507.04642071712</c:v>
                </c:pt>
                <c:pt idx="69">
                  <c:v>247279.68349406114</c:v>
                </c:pt>
                <c:pt idx="70">
                  <c:v>249039.70345232496</c:v>
                </c:pt>
                <c:pt idx="71">
                  <c:v>250787.37193551203</c:v>
                </c:pt>
                <c:pt idx="72">
                  <c:v>252522.94539114606</c:v>
                </c:pt>
                <c:pt idx="73">
                  <c:v>254246.67151354931</c:v>
                </c:pt>
                <c:pt idx="74">
                  <c:v>255958.78965649445</c:v>
                </c:pt>
                <c:pt idx="75">
                  <c:v>257659.53122117658</c:v>
                </c:pt>
                <c:pt idx="76">
                  <c:v>259349.1200212859</c:v>
                </c:pt>
                <c:pt idx="77">
                  <c:v>261027.77262681123</c:v>
                </c:pt>
                <c:pt idx="78">
                  <c:v>262695.69868806977</c:v>
                </c:pt>
                <c:pt idx="79">
                  <c:v>264353.10124133603</c:v>
                </c:pt>
                <c:pt idx="80">
                  <c:v>266000.17699733016</c:v>
                </c:pt>
                <c:pt idx="81">
                  <c:v>267637.1166137273</c:v>
                </c:pt>
                <c:pt idx="82">
                  <c:v>269264.10495275591</c:v>
                </c:pt>
                <c:pt idx="83">
                  <c:v>270881.32132487034</c:v>
                </c:pt>
                <c:pt idx="84">
                  <c:v>272488.93971940689</c:v>
                </c:pt>
                <c:pt idx="85">
                  <c:v>274087.12902306352</c:v>
                </c:pt>
                <c:pt idx="86">
                  <c:v>275676.05322697939</c:v>
                </c:pt>
                <c:pt idx="87">
                  <c:v>277255.87162313313</c:v>
                </c:pt>
                <c:pt idx="88">
                  <c:v>278826.73899072548</c:v>
                </c:pt>
                <c:pt idx="89">
                  <c:v>280388.80577316397</c:v>
                </c:pt>
                <c:pt idx="90">
                  <c:v>281942.21824622143</c:v>
                </c:pt>
                <c:pt idx="91">
                  <c:v>283487.11867790192</c:v>
                </c:pt>
                <c:pt idx="92">
                  <c:v>285023.64548050705</c:v>
                </c:pt>
                <c:pt idx="93">
                  <c:v>286551.93335536349</c:v>
                </c:pt>
                <c:pt idx="94">
                  <c:v>288072.11343064008</c:v>
                </c:pt>
                <c:pt idx="95">
                  <c:v>289584.3133926533</c:v>
                </c:pt>
                <c:pt idx="96">
                  <c:v>291088.65761103324</c:v>
                </c:pt>
                <c:pt idx="97">
                  <c:v>292585.26725809736</c:v>
                </c:pt>
                <c:pt idx="98">
                  <c:v>294074.26042275643</c:v>
                </c:pt>
                <c:pt idx="99">
                  <c:v>295555.75221925572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0D-48CE-97A9-677BDA8DEDD5}"/>
            </c:ext>
          </c:extLst>
        </c:ser>
        <c:ser>
          <c:idx val="4"/>
          <c:order val="4"/>
          <c:tx>
            <c:strRef>
              <c:f>'Solutions and last graphs'!$CU$5</c:f>
              <c:strCache>
                <c:ptCount val="1"/>
                <c:pt idx="0">
                  <c:v>SEDG 0.99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'Solutions and last graphs'!$CP$6:$CP$105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'Solutions and last graphs'!$CU$6:$CU$105</c:f>
              <c:numCache>
                <c:formatCode>General</c:formatCode>
                <c:ptCount val="100"/>
                <c:pt idx="0">
                  <c:v>47348.841918919476</c:v>
                </c:pt>
                <c:pt idx="1">
                  <c:v>66961.374404395654</c:v>
                </c:pt>
                <c:pt idx="2">
                  <c:v>82010.599883115588</c:v>
                </c:pt>
                <c:pt idx="3">
                  <c:v>94697.683837838951</c:v>
                </c:pt>
                <c:pt idx="4">
                  <c:v>105875.22918659553</c:v>
                </c:pt>
                <c:pt idx="5">
                  <c:v>115980.50261305542</c:v>
                </c:pt>
                <c:pt idx="6">
                  <c:v>125273.26058437125</c:v>
                </c:pt>
                <c:pt idx="7">
                  <c:v>133922.74880879131</c:v>
                </c:pt>
                <c:pt idx="8">
                  <c:v>142046.52575675843</c:v>
                </c:pt>
                <c:pt idx="9">
                  <c:v>149730.18503504316</c:v>
                </c:pt>
                <c:pt idx="10">
                  <c:v>157038.34290290726</c:v>
                </c:pt>
                <c:pt idx="11">
                  <c:v>164021.19976623118</c:v>
                </c:pt>
                <c:pt idx="12">
                  <c:v>170718.67737250292</c:v>
                </c:pt>
                <c:pt idx="13">
                  <c:v>177163.1441211167</c:v>
                </c:pt>
                <c:pt idx="14">
                  <c:v>183381.27621418276</c:v>
                </c:pt>
                <c:pt idx="15">
                  <c:v>189395.3676756779</c:v>
                </c:pt>
                <c:pt idx="16">
                  <c:v>195224.27648237819</c:v>
                </c:pt>
                <c:pt idx="17">
                  <c:v>200884.12321318692</c:v>
                </c:pt>
                <c:pt idx="18">
                  <c:v>206388.81701825248</c:v>
                </c:pt>
                <c:pt idx="19">
                  <c:v>211750.45837319107</c:v>
                </c:pt>
                <c:pt idx="20">
                  <c:v>216979.65216194661</c:v>
                </c:pt>
                <c:pt idx="21">
                  <c:v>222085.75434588816</c:v>
                </c:pt>
                <c:pt idx="22">
                  <c:v>227077.06866710473</c:v>
                </c:pt>
                <c:pt idx="23">
                  <c:v>231961.00522611084</c:v>
                </c:pt>
                <c:pt idx="24">
                  <c:v>236744.20959459737</c:v>
                </c:pt>
                <c:pt idx="25">
                  <c:v>241432.66889059043</c:v>
                </c:pt>
                <c:pt idx="26">
                  <c:v>246031.79964934677</c:v>
                </c:pt>
                <c:pt idx="27">
                  <c:v>250546.5211687425</c:v>
                </c:pt>
                <c:pt idx="28">
                  <c:v>254981.31716034011</c:v>
                </c:pt>
                <c:pt idx="29">
                  <c:v>259340.28790738393</c:v>
                </c:pt>
                <c:pt idx="30">
                  <c:v>263627.19465743209</c:v>
                </c:pt>
                <c:pt idx="31">
                  <c:v>267845.49761758262</c:v>
                </c:pt>
                <c:pt idx="32">
                  <c:v>271998.38864425884</c:v>
                </c:pt>
                <c:pt idx="33">
                  <c:v>276088.8195058541</c:v>
                </c:pt>
                <c:pt idx="34">
                  <c:v>280119.52642969915</c:v>
                </c:pt>
                <c:pt idx="35">
                  <c:v>284093.05151351687</c:v>
                </c:pt>
                <c:pt idx="36">
                  <c:v>288011.76147741702</c:v>
                </c:pt>
                <c:pt idx="37">
                  <c:v>291877.86414935166</c:v>
                </c:pt>
                <c:pt idx="38">
                  <c:v>295693.42301013431</c:v>
                </c:pt>
                <c:pt idx="39">
                  <c:v>299460.37007008633</c:v>
                </c:pt>
                <c:pt idx="40">
                  <c:v>303180.51730540977</c:v>
                </c:pt>
                <c:pt idx="41">
                  <c:v>306855.56684642157</c:v>
                </c:pt>
                <c:pt idx="42">
                  <c:v>310487.120080208</c:v>
                </c:pt>
                <c:pt idx="43">
                  <c:v>314076.68580581452</c:v>
                </c:pt>
                <c:pt idx="44">
                  <c:v>317625.6875597866</c:v>
                </c:pt>
                <c:pt idx="45">
                  <c:v>321135.47021294612</c:v>
                </c:pt>
                <c:pt idx="46">
                  <c:v>324607.30592510209</c:v>
                </c:pt>
                <c:pt idx="47">
                  <c:v>328042.39953246235</c:v>
                </c:pt>
                <c:pt idx="48">
                  <c:v>331441.89343243634</c:v>
                </c:pt>
                <c:pt idx="49">
                  <c:v>334806.87202197826</c:v>
                </c:pt>
                <c:pt idx="50">
                  <c:v>338138.36573835294</c:v>
                </c:pt>
                <c:pt idx="51">
                  <c:v>341437.35474500584</c:v>
                </c:pt>
                <c:pt idx="52">
                  <c:v>344704.7722999056</c:v>
                </c:pt>
                <c:pt idx="53">
                  <c:v>347941.50783916627</c:v>
                </c:pt>
                <c:pt idx="54">
                  <c:v>351148.40980482229</c:v>
                </c:pt>
                <c:pt idx="55">
                  <c:v>354326.28824223339</c:v>
                </c:pt>
                <c:pt idx="56">
                  <c:v>357475.91718964942</c:v>
                </c:pt>
                <c:pt idx="57">
                  <c:v>360598.03687990858</c:v>
                </c:pt>
                <c:pt idx="58">
                  <c:v>363693.35577201121</c:v>
                </c:pt>
                <c:pt idx="59">
                  <c:v>366762.55242836551</c:v>
                </c:pt>
                <c:pt idx="60">
                  <c:v>369806.27725179621</c:v>
                </c:pt>
                <c:pt idx="61">
                  <c:v>372825.15409491246</c:v>
                </c:pt>
                <c:pt idx="62">
                  <c:v>375819.78175311378</c:v>
                </c:pt>
                <c:pt idx="63">
                  <c:v>378790.7353513558</c:v>
                </c:pt>
                <c:pt idx="64">
                  <c:v>381738.56763377169</c:v>
                </c:pt>
                <c:pt idx="65">
                  <c:v>384663.81016433891</c:v>
                </c:pt>
                <c:pt idx="66">
                  <c:v>387566.974445978</c:v>
                </c:pt>
                <c:pt idx="67">
                  <c:v>390448.55296475638</c:v>
                </c:pt>
                <c:pt idx="68">
                  <c:v>393309.02016523218</c:v>
                </c:pt>
                <c:pt idx="69">
                  <c:v>396148.8333624092</c:v>
                </c:pt>
                <c:pt idx="70">
                  <c:v>398968.4335952666</c:v>
                </c:pt>
                <c:pt idx="71">
                  <c:v>401768.24642637384</c:v>
                </c:pt>
                <c:pt idx="72">
                  <c:v>404548.68269169569</c:v>
                </c:pt>
                <c:pt idx="73">
                  <c:v>407310.13920432806</c:v>
                </c:pt>
                <c:pt idx="74">
                  <c:v>410052.99941557797</c:v>
                </c:pt>
                <c:pt idx="75">
                  <c:v>412777.63403650495</c:v>
                </c:pt>
                <c:pt idx="76">
                  <c:v>415484.40162277769</c:v>
                </c:pt>
                <c:pt idx="77">
                  <c:v>418173.64912545658</c:v>
                </c:pt>
                <c:pt idx="78">
                  <c:v>420845.71241009841</c:v>
                </c:pt>
                <c:pt idx="79">
                  <c:v>423500.91674638214</c:v>
                </c:pt>
                <c:pt idx="80">
                  <c:v>426139.57727027527</c:v>
                </c:pt>
                <c:pt idx="81">
                  <c:v>428761.99942060135</c:v>
                </c:pt>
                <c:pt idx="82">
                  <c:v>431368.4793517192</c:v>
                </c:pt>
                <c:pt idx="83">
                  <c:v>433959.30432389322</c:v>
                </c:pt>
                <c:pt idx="84">
                  <c:v>436534.75307281117</c:v>
                </c:pt>
                <c:pt idx="85">
                  <c:v>439095.09615959396</c:v>
                </c:pt>
                <c:pt idx="86">
                  <c:v>441640.59630254318</c:v>
                </c:pt>
                <c:pt idx="87">
                  <c:v>444171.50869177631</c:v>
                </c:pt>
                <c:pt idx="88">
                  <c:v>446688.0812878171</c:v>
                </c:pt>
                <c:pt idx="89">
                  <c:v>449190.55510512949</c:v>
                </c:pt>
                <c:pt idx="90">
                  <c:v>451679.16448151245</c:v>
                </c:pt>
                <c:pt idx="91">
                  <c:v>454154.13733420946</c:v>
                </c:pt>
                <c:pt idx="92">
                  <c:v>456615.69540352293</c:v>
                </c:pt>
                <c:pt idx="93">
                  <c:v>459064.05448467174</c:v>
                </c:pt>
                <c:pt idx="94">
                  <c:v>461499.42464857793</c:v>
                </c:pt>
                <c:pt idx="95">
                  <c:v>463922.01045222167</c:v>
                </c:pt>
                <c:pt idx="96">
                  <c:v>466332.01113916049</c:v>
                </c:pt>
                <c:pt idx="97">
                  <c:v>468729.62083076953</c:v>
                </c:pt>
                <c:pt idx="98">
                  <c:v>471115.0287087218</c:v>
                </c:pt>
                <c:pt idx="99">
                  <c:v>473488.41918919474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40D-48CE-97A9-677BDA8DEDD5}"/>
            </c:ext>
          </c:extLst>
        </c:ser>
        <c:ser>
          <c:idx val="5"/>
          <c:order val="5"/>
          <c:tx>
            <c:strRef>
              <c:f>'Solutions and last graphs'!$CV$5</c:f>
              <c:strCache>
                <c:ptCount val="1"/>
                <c:pt idx="0">
                  <c:v>SEDG 0.995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'Solutions and last graphs'!$CP$6:$CP$105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'Solutions and last graphs'!$CV$6:$CV$105</c:f>
              <c:numCache>
                <c:formatCode>General</c:formatCode>
                <c:ptCount val="100"/>
                <c:pt idx="0">
                  <c:v>50304.18801366043</c:v>
                </c:pt>
                <c:pt idx="1">
                  <c:v>71140.864933084667</c:v>
                </c:pt>
                <c:pt idx="2">
                  <c:v>87129.409473157182</c:v>
                </c:pt>
                <c:pt idx="3">
                  <c:v>100608.37602732086</c:v>
                </c:pt>
                <c:pt idx="4">
                  <c:v>112483.58395147485</c:v>
                </c:pt>
                <c:pt idx="5">
                  <c:v>123219.59255849771</c:v>
                </c:pt>
                <c:pt idx="6">
                  <c:v>133092.37138918176</c:v>
                </c:pt>
                <c:pt idx="7">
                  <c:v>142281.72986616933</c:v>
                </c:pt>
                <c:pt idx="8">
                  <c:v>150912.56404098129</c:v>
                </c:pt>
                <c:pt idx="9">
                  <c:v>159075.80996850834</c:v>
                </c:pt>
                <c:pt idx="10">
                  <c:v>166840.11702480513</c:v>
                </c:pt>
                <c:pt idx="11">
                  <c:v>174258.81894631436</c:v>
                </c:pt>
                <c:pt idx="12">
                  <c:v>181374.32925383368</c:v>
                </c:pt>
                <c:pt idx="13">
                  <c:v>188221.03666697771</c:v>
                </c:pt>
                <c:pt idx="14">
                  <c:v>194827.28242139361</c:v>
                </c:pt>
                <c:pt idx="15">
                  <c:v>201216.75205464172</c:v>
                </c:pt>
                <c:pt idx="16">
                  <c:v>207409.48059125181</c:v>
                </c:pt>
                <c:pt idx="17">
                  <c:v>213422.59479925397</c:v>
                </c:pt>
                <c:pt idx="18">
                  <c:v>219270.87198841589</c:v>
                </c:pt>
                <c:pt idx="19">
                  <c:v>224967.1679029497</c:v>
                </c:pt>
                <c:pt idx="20">
                  <c:v>230522.74934588917</c:v>
                </c:pt>
                <c:pt idx="21">
                  <c:v>235947.55624439375</c:v>
                </c:pt>
                <c:pt idx="22">
                  <c:v>241250.41063056252</c:v>
                </c:pt>
                <c:pt idx="23">
                  <c:v>246439.18511699542</c:v>
                </c:pt>
                <c:pt idx="24">
                  <c:v>251520.94006830215</c:v>
                </c:pt>
                <c:pt idx="25">
                  <c:v>256502.03629709478</c:v>
                </c:pt>
                <c:pt idx="26">
                  <c:v>261388.22841947156</c:v>
                </c:pt>
                <c:pt idx="27">
                  <c:v>266184.74277836352</c:v>
                </c:pt>
                <c:pt idx="28">
                  <c:v>270896.34294264147</c:v>
                </c:pt>
                <c:pt idx="29">
                  <c:v>275527.38512062811</c:v>
                </c:pt>
                <c:pt idx="30">
                  <c:v>280081.86532355967</c:v>
                </c:pt>
                <c:pt idx="31">
                  <c:v>284563.45973233867</c:v>
                </c:pt>
                <c:pt idx="32">
                  <c:v>288975.55942769971</c:v>
                </c:pt>
                <c:pt idx="33">
                  <c:v>293321.30041690753</c:v>
                </c:pt>
                <c:pt idx="34">
                  <c:v>297603.58971285849</c:v>
                </c:pt>
                <c:pt idx="35">
                  <c:v>301825.12808196258</c:v>
                </c:pt>
                <c:pt idx="36">
                  <c:v>305988.42996657046</c:v>
                </c:pt>
                <c:pt idx="37">
                  <c:v>310095.8409993925</c:v>
                </c:pt>
                <c:pt idx="38">
                  <c:v>314149.55345636606</c:v>
                </c:pt>
                <c:pt idx="39">
                  <c:v>318151.61993701669</c:v>
                </c:pt>
                <c:pt idx="40">
                  <c:v>322103.96551464807</c:v>
                </c:pt>
                <c:pt idx="41">
                  <c:v>326008.39856048999</c:v>
                </c:pt>
                <c:pt idx="42">
                  <c:v>329866.62041450781</c:v>
                </c:pt>
                <c:pt idx="43">
                  <c:v>333680.23404961027</c:v>
                </c:pt>
                <c:pt idx="44">
                  <c:v>337450.75185442454</c:v>
                </c:pt>
                <c:pt idx="45">
                  <c:v>341179.60264181986</c:v>
                </c:pt>
                <c:pt idx="46">
                  <c:v>344868.13797529018</c:v>
                </c:pt>
                <c:pt idx="47">
                  <c:v>348517.63789262873</c:v>
                </c:pt>
                <c:pt idx="48">
                  <c:v>352129.31609562301</c:v>
                </c:pt>
                <c:pt idx="49">
                  <c:v>355704.32466542337</c:v>
                </c:pt>
                <c:pt idx="50">
                  <c:v>359243.75835551909</c:v>
                </c:pt>
                <c:pt idx="51">
                  <c:v>362748.65850766737</c:v>
                </c:pt>
                <c:pt idx="52">
                  <c:v>366220.01663047582</c:v>
                </c:pt>
                <c:pt idx="53">
                  <c:v>369658.77767549315</c:v>
                </c:pt>
                <c:pt idx="54">
                  <c:v>373065.84304148424</c:v>
                </c:pt>
                <c:pt idx="55">
                  <c:v>376442.07333395543</c:v>
                </c:pt>
                <c:pt idx="56">
                  <c:v>379788.29090386763</c:v>
                </c:pt>
                <c:pt idx="57">
                  <c:v>383105.28218675673</c:v>
                </c:pt>
                <c:pt idx="58">
                  <c:v>386393.79986111081</c:v>
                </c:pt>
                <c:pt idx="59">
                  <c:v>389654.56484278722</c:v>
                </c:pt>
                <c:pt idx="60">
                  <c:v>392888.26813043875</c:v>
                </c:pt>
                <c:pt idx="61">
                  <c:v>396095.57251533278</c:v>
                </c:pt>
                <c:pt idx="62">
                  <c:v>399277.11416754528</c:v>
                </c:pt>
                <c:pt idx="63">
                  <c:v>402433.50410928344</c:v>
                </c:pt>
                <c:pt idx="64">
                  <c:v>405565.32958500081</c:v>
                </c:pt>
                <c:pt idx="65">
                  <c:v>408673.15533700533</c:v>
                </c:pt>
                <c:pt idx="66">
                  <c:v>411757.52479440829</c:v>
                </c:pt>
                <c:pt idx="67">
                  <c:v>414818.96118250361</c:v>
                </c:pt>
                <c:pt idx="68">
                  <c:v>417857.96855898912</c:v>
                </c:pt>
                <c:pt idx="69">
                  <c:v>420875.03278284264</c:v>
                </c:pt>
                <c:pt idx="70">
                  <c:v>423870.62242112576</c:v>
                </c:pt>
                <c:pt idx="71">
                  <c:v>426845.18959850795</c:v>
                </c:pt>
                <c:pt idx="72">
                  <c:v>429799.17079387192</c:v>
                </c:pt>
                <c:pt idx="73">
                  <c:v>432732.98758797394</c:v>
                </c:pt>
                <c:pt idx="74">
                  <c:v>435647.04736578598</c:v>
                </c:pt>
                <c:pt idx="75">
                  <c:v>438541.74397683179</c:v>
                </c:pt>
                <c:pt idx="76">
                  <c:v>441417.45835654793</c:v>
                </c:pt>
                <c:pt idx="77">
                  <c:v>444274.55911144457</c:v>
                </c:pt>
                <c:pt idx="78">
                  <c:v>447113.40307061037</c:v>
                </c:pt>
                <c:pt idx="79">
                  <c:v>449934.33580589941</c:v>
                </c:pt>
                <c:pt idx="80">
                  <c:v>452737.69212294387</c:v>
                </c:pt>
                <c:pt idx="81">
                  <c:v>455523.79652497108</c:v>
                </c:pt>
                <c:pt idx="82">
                  <c:v>458292.96365124016</c:v>
                </c:pt>
                <c:pt idx="83">
                  <c:v>461045.49869177834</c:v>
                </c:pt>
                <c:pt idx="84">
                  <c:v>463781.69777996233</c:v>
                </c:pt>
                <c:pt idx="85">
                  <c:v>466501.84836437466</c:v>
                </c:pt>
                <c:pt idx="86">
                  <c:v>469206.22956125776</c:v>
                </c:pt>
                <c:pt idx="87">
                  <c:v>471895.1124887875</c:v>
                </c:pt>
                <c:pt idx="88">
                  <c:v>474568.76058430044</c:v>
                </c:pt>
                <c:pt idx="89">
                  <c:v>477227.429905525</c:v>
                </c:pt>
                <c:pt idx="90">
                  <c:v>479871.36941679119</c:v>
                </c:pt>
                <c:pt idx="91">
                  <c:v>482500.82126112503</c:v>
                </c:pt>
                <c:pt idx="92">
                  <c:v>485116.02101906907</c:v>
                </c:pt>
                <c:pt idx="93">
                  <c:v>487717.19795501122</c:v>
                </c:pt>
                <c:pt idx="94">
                  <c:v>490304.57525175234</c:v>
                </c:pt>
                <c:pt idx="95">
                  <c:v>492878.37023399083</c:v>
                </c:pt>
                <c:pt idx="96">
                  <c:v>495438.79458135756</c:v>
                </c:pt>
                <c:pt idx="97">
                  <c:v>497986.05453159264</c:v>
                </c:pt>
                <c:pt idx="98">
                  <c:v>500520.35107441543</c:v>
                </c:pt>
                <c:pt idx="99">
                  <c:v>503041.8801366043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40D-48CE-97A9-677BDA8DEDD5}"/>
            </c:ext>
          </c:extLst>
        </c:ser>
        <c:ser>
          <c:idx val="6"/>
          <c:order val="6"/>
          <c:tx>
            <c:strRef>
              <c:f>'Solutions and last graphs'!$CW$5</c:f>
              <c:strCache>
                <c:ptCount val="1"/>
                <c:pt idx="0">
                  <c:v>PF 0.95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'Solutions and last graphs'!$CP$6:$CP$105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'Solutions and last graphs'!$CW$6:$CW$105</c:f>
              <c:numCache>
                <c:formatCode>General</c:formatCode>
                <c:ptCount val="100"/>
                <c:pt idx="0">
                  <c:v>57215.289857742762</c:v>
                </c:pt>
                <c:pt idx="1">
                  <c:v>80914.638891927607</c:v>
                </c:pt>
                <c:pt idx="2">
                  <c:v>99099.789003390746</c:v>
                </c:pt>
                <c:pt idx="3">
                  <c:v>114430.57971548552</c:v>
                </c:pt>
                <c:pt idx="4">
                  <c:v>127937.27747426709</c:v>
                </c:pt>
                <c:pt idx="5">
                  <c:v>140148.26563690728</c:v>
                </c:pt>
                <c:pt idx="6">
                  <c:v>151377.4281540635</c:v>
                </c:pt>
                <c:pt idx="7">
                  <c:v>161829.27778385521</c:v>
                </c:pt>
                <c:pt idx="8">
                  <c:v>171645.86957322829</c:v>
                </c:pt>
                <c:pt idx="9">
                  <c:v>180930.63293719839</c:v>
                </c:pt>
                <c:pt idx="10">
                  <c:v>189761.64872955953</c:v>
                </c:pt>
                <c:pt idx="11">
                  <c:v>198199.57800678149</c:v>
                </c:pt>
                <c:pt idx="12">
                  <c:v>206292.66132262626</c:v>
                </c:pt>
                <c:pt idx="13">
                  <c:v>214080.01193263536</c:v>
                </c:pt>
                <c:pt idx="14">
                  <c:v>221593.86476746787</c:v>
                </c:pt>
                <c:pt idx="15">
                  <c:v>228861.15943097105</c:v>
                </c:pt>
                <c:pt idx="16">
                  <c:v>235904.68348380426</c:v>
                </c:pt>
                <c:pt idx="17">
                  <c:v>242743.91667578279</c:v>
                </c:pt>
                <c:pt idx="18">
                  <c:v>249395.66651528835</c:v>
                </c:pt>
                <c:pt idx="19">
                  <c:v>255874.55494853418</c:v>
                </c:pt>
                <c:pt idx="20">
                  <c:v>262193.39668194536</c:v>
                </c:pt>
                <c:pt idx="21">
                  <c:v>268363.49725162226</c:v>
                </c:pt>
                <c:pt idx="22">
                  <c:v>274394.89071523724</c:v>
                </c:pt>
                <c:pt idx="23">
                  <c:v>280296.53127381456</c:v>
                </c:pt>
                <c:pt idx="24">
                  <c:v>286076.4492887138</c:v>
                </c:pt>
                <c:pt idx="25">
                  <c:v>291741.8794604977</c:v>
                </c:pt>
                <c:pt idx="26">
                  <c:v>297299.36701017222</c:v>
                </c:pt>
                <c:pt idx="27">
                  <c:v>302754.856308127</c:v>
                </c:pt>
                <c:pt idx="28">
                  <c:v>308113.76537191606</c:v>
                </c:pt>
                <c:pt idx="29">
                  <c:v>313381.04889282258</c:v>
                </c:pt>
                <c:pt idx="30">
                  <c:v>318561.25187893014</c:v>
                </c:pt>
                <c:pt idx="31">
                  <c:v>323658.55556771043</c:v>
                </c:pt>
                <c:pt idx="32">
                  <c:v>328676.81692763517</c:v>
                </c:pt>
                <c:pt idx="33">
                  <c:v>333619.6028101283</c:v>
                </c:pt>
                <c:pt idx="34">
                  <c:v>338490.21961157647</c:v>
                </c:pt>
                <c:pt idx="35">
                  <c:v>343291.73914645659</c:v>
                </c:pt>
                <c:pt idx="36">
                  <c:v>348027.02130682941</c:v>
                </c:pt>
                <c:pt idx="37">
                  <c:v>352698.7339829983</c:v>
                </c:pt>
                <c:pt idx="38">
                  <c:v>357309.37063938775</c:v>
                </c:pt>
                <c:pt idx="39">
                  <c:v>361861.26587439678</c:v>
                </c:pt>
                <c:pt idx="40">
                  <c:v>366356.60923985852</c:v>
                </c:pt>
                <c:pt idx="41">
                  <c:v>370797.45755227603</c:v>
                </c:pt>
                <c:pt idx="42">
                  <c:v>375185.74589226791</c:v>
                </c:pt>
                <c:pt idx="43">
                  <c:v>379523.29745911906</c:v>
                </c:pt>
                <c:pt idx="44">
                  <c:v>383811.83242280129</c:v>
                </c:pt>
                <c:pt idx="45">
                  <c:v>388052.97589537181</c:v>
                </c:pt>
                <c:pt idx="46">
                  <c:v>392248.26512651338</c:v>
                </c:pt>
                <c:pt idx="47">
                  <c:v>396399.15601356298</c:v>
                </c:pt>
                <c:pt idx="48">
                  <c:v>400507.02900419931</c:v>
                </c:pt>
                <c:pt idx="49">
                  <c:v>404573.19445963803</c:v>
                </c:pt>
                <c:pt idx="50">
                  <c:v>408598.89753740357</c:v>
                </c:pt>
                <c:pt idx="51">
                  <c:v>412585.32264525251</c:v>
                </c:pt>
                <c:pt idx="52">
                  <c:v>416533.59751140443</c:v>
                </c:pt>
                <c:pt idx="53">
                  <c:v>420444.79691072193</c:v>
                </c:pt>
                <c:pt idx="54">
                  <c:v>424319.9460817317</c:v>
                </c:pt>
                <c:pt idx="55">
                  <c:v>428160.02386527072</c:v>
                </c:pt>
                <c:pt idx="56">
                  <c:v>431965.96559198358</c:v>
                </c:pt>
                <c:pt idx="57">
                  <c:v>435738.6657428054</c:v>
                </c:pt>
                <c:pt idx="58">
                  <c:v>439478.98040387069</c:v>
                </c:pt>
                <c:pt idx="59">
                  <c:v>443187.72953493573</c:v>
                </c:pt>
                <c:pt idx="60">
                  <c:v>446865.69906834065</c:v>
                </c:pt>
                <c:pt idx="61">
                  <c:v>450513.64285373461</c:v>
                </c:pt>
                <c:pt idx="62">
                  <c:v>454132.28446219047</c:v>
                </c:pt>
                <c:pt idx="63">
                  <c:v>457722.3188619421</c:v>
                </c:pt>
                <c:pt idx="64">
                  <c:v>461284.41397673398</c:v>
                </c:pt>
                <c:pt idx="65">
                  <c:v>464819.21213668061</c:v>
                </c:pt>
                <c:pt idx="66">
                  <c:v>468327.33143056044</c:v>
                </c:pt>
                <c:pt idx="67">
                  <c:v>471809.36696760851</c:v>
                </c:pt>
                <c:pt idx="68">
                  <c:v>475265.89205610054</c:v>
                </c:pt>
                <c:pt idx="69">
                  <c:v>478697.45930533885</c:v>
                </c:pt>
                <c:pt idx="70">
                  <c:v>482104.60165703879</c:v>
                </c:pt>
                <c:pt idx="71">
                  <c:v>485487.83335156558</c:v>
                </c:pt>
                <c:pt idx="72">
                  <c:v>488847.65083398228</c:v>
                </c:pt>
                <c:pt idx="73">
                  <c:v>492184.53360442829</c:v>
                </c:pt>
                <c:pt idx="74">
                  <c:v>495498.9450169538</c:v>
                </c:pt>
                <c:pt idx="75">
                  <c:v>498791.3330305767</c:v>
                </c:pt>
                <c:pt idx="76">
                  <c:v>502062.13091601041</c:v>
                </c:pt>
                <c:pt idx="77">
                  <c:v>505311.75792121713</c:v>
                </c:pt>
                <c:pt idx="78">
                  <c:v>508540.61989868246</c:v>
                </c:pt>
                <c:pt idx="79">
                  <c:v>511749.10989706835</c:v>
                </c:pt>
                <c:pt idx="80">
                  <c:v>514937.60871968488</c:v>
                </c:pt>
                <c:pt idx="81">
                  <c:v>518106.48545202834</c:v>
                </c:pt>
                <c:pt idx="82">
                  <c:v>521256.09796045389</c:v>
                </c:pt>
                <c:pt idx="83">
                  <c:v>524386.79336389073</c:v>
                </c:pt>
                <c:pt idx="84">
                  <c:v>527498.90848035819</c:v>
                </c:pt>
                <c:pt idx="85">
                  <c:v>530592.770249911</c:v>
                </c:pt>
                <c:pt idx="86">
                  <c:v>533668.69613551477</c:v>
                </c:pt>
                <c:pt idx="87">
                  <c:v>536726.99450324452</c:v>
                </c:pt>
                <c:pt idx="88">
                  <c:v>539767.96498309472</c:v>
                </c:pt>
                <c:pt idx="89">
                  <c:v>542791.89881159517</c:v>
                </c:pt>
                <c:pt idx="90">
                  <c:v>545799.07915734197</c:v>
                </c:pt>
                <c:pt idx="91">
                  <c:v>548789.78143047448</c:v>
                </c:pt>
                <c:pt idx="92">
                  <c:v>551764.27357705345</c:v>
                </c:pt>
                <c:pt idx="93">
                  <c:v>554722.81635923276</c:v>
                </c:pt>
                <c:pt idx="94">
                  <c:v>557665.66362205276</c:v>
                </c:pt>
                <c:pt idx="95">
                  <c:v>560593.06254762912</c:v>
                </c:pt>
                <c:pt idx="96">
                  <c:v>563505.25389745529</c:v>
                </c:pt>
                <c:pt idx="97">
                  <c:v>566402.47224349319</c:v>
                </c:pt>
                <c:pt idx="98">
                  <c:v>569284.94618867862</c:v>
                </c:pt>
                <c:pt idx="99">
                  <c:v>572152.89857742761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40D-48CE-97A9-677BDA8DEDD5}"/>
            </c:ext>
          </c:extLst>
        </c:ser>
        <c:ser>
          <c:idx val="7"/>
          <c:order val="7"/>
          <c:tx>
            <c:strRef>
              <c:f>'Solutions and last graphs'!$CX$5</c:f>
              <c:strCache>
                <c:ptCount val="1"/>
                <c:pt idx="0">
                  <c:v>PF 0.99</c:v>
                </c:pt>
              </c:strCache>
            </c:strRef>
          </c:tx>
          <c:spPr>
            <a:ln w="28575" cap="rnd">
              <a:solidFill>
                <a:srgbClr val="92D050"/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'Solutions and last graphs'!$CP$6:$CP$105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'Solutions and last graphs'!$CX$6:$CX$105</c:f>
              <c:numCache>
                <c:formatCode>General</c:formatCode>
                <c:ptCount val="100"/>
                <c:pt idx="0">
                  <c:v>97134.334612948791</c:v>
                </c:pt>
                <c:pt idx="1">
                  <c:v>137368.69338171856</c:v>
                </c:pt>
                <c:pt idx="2">
                  <c:v>168241.60270902349</c:v>
                </c:pt>
                <c:pt idx="3">
                  <c:v>194268.66922589758</c:v>
                </c:pt>
                <c:pt idx="4">
                  <c:v>217198.97514376423</c:v>
                </c:pt>
                <c:pt idx="5">
                  <c:v>237929.55630648707</c:v>
                </c:pt>
                <c:pt idx="6">
                  <c:v>256993.29315159592</c:v>
                </c:pt>
                <c:pt idx="7">
                  <c:v>274737.38676343713</c:v>
                </c:pt>
                <c:pt idx="8">
                  <c:v>291403.00383884634</c:v>
                </c:pt>
                <c:pt idx="9">
                  <c:v>307165.73638184817</c:v>
                </c:pt>
                <c:pt idx="10">
                  <c:v>322158.14217198256</c:v>
                </c:pt>
                <c:pt idx="11">
                  <c:v>336483.20541804697</c:v>
                </c:pt>
                <c:pt idx="12">
                  <c:v>350222.82405506342</c:v>
                </c:pt>
                <c:pt idx="13">
                  <c:v>363443.40061391157</c:v>
                </c:pt>
                <c:pt idx="14">
                  <c:v>376199.66030088934</c:v>
                </c:pt>
                <c:pt idx="15">
                  <c:v>388537.33845179516</c:v>
                </c:pt>
                <c:pt idx="16">
                  <c:v>400495.12148327741</c:v>
                </c:pt>
                <c:pt idx="17">
                  <c:v>412106.0801451556</c:v>
                </c:pt>
                <c:pt idx="18">
                  <c:v>423398.7485259088</c:v>
                </c:pt>
                <c:pt idx="19">
                  <c:v>434397.95028752845</c:v>
                </c:pt>
                <c:pt idx="20">
                  <c:v>445125.44094300689</c:v>
                </c:pt>
                <c:pt idx="21">
                  <c:v>455600.4138885375</c:v>
                </c:pt>
                <c:pt idx="22">
                  <c:v>465839.90393278556</c:v>
                </c:pt>
                <c:pt idx="23">
                  <c:v>475859.11261297413</c:v>
                </c:pt>
                <c:pt idx="24">
                  <c:v>485671.67306474398</c:v>
                </c:pt>
                <c:pt idx="25">
                  <c:v>495289.86763127689</c:v>
                </c:pt>
                <c:pt idx="26">
                  <c:v>504724.80812707054</c:v>
                </c:pt>
                <c:pt idx="27">
                  <c:v>513986.58630319184</c:v>
                </c:pt>
                <c:pt idx="28">
                  <c:v>523084.40032207873</c:v>
                </c:pt>
                <c:pt idx="29">
                  <c:v>532026.66175766895</c:v>
                </c:pt>
                <c:pt idx="30">
                  <c:v>540821.08666518296</c:v>
                </c:pt>
                <c:pt idx="31">
                  <c:v>549474.77352687425</c:v>
                </c:pt>
                <c:pt idx="32">
                  <c:v>557994.27031387156</c:v>
                </c:pt>
                <c:pt idx="33">
                  <c:v>566385.63246591121</c:v>
                </c:pt>
                <c:pt idx="34">
                  <c:v>574654.47324849956</c:v>
                </c:pt>
                <c:pt idx="35">
                  <c:v>582806.00767769269</c:v>
                </c:pt>
                <c:pt idx="36">
                  <c:v>590845.09098909434</c:v>
                </c:pt>
                <c:pt idx="37">
                  <c:v>598776.25245713559</c:v>
                </c:pt>
                <c:pt idx="38">
                  <c:v>606603.7252336255</c:v>
                </c:pt>
                <c:pt idx="39">
                  <c:v>614331.47276369634</c:v>
                </c:pt>
                <c:pt idx="40">
                  <c:v>621963.21224708483</c:v>
                </c:pt>
                <c:pt idx="41">
                  <c:v>629502.43553890451</c:v>
                </c:pt>
                <c:pt idx="42">
                  <c:v>636952.42782339163</c:v>
                </c:pt>
                <c:pt idx="43">
                  <c:v>644316.28434396512</c:v>
                </c:pt>
                <c:pt idx="44">
                  <c:v>651596.92543129274</c:v>
                </c:pt>
                <c:pt idx="45">
                  <c:v>658797.11003632518</c:v>
                </c:pt>
                <c:pt idx="46">
                  <c:v>665919.44794615672</c:v>
                </c:pt>
                <c:pt idx="47">
                  <c:v>672966.41083609394</c:v>
                </c:pt>
                <c:pt idx="48">
                  <c:v>679940.34229064151</c:v>
                </c:pt>
                <c:pt idx="49">
                  <c:v>686843.46690859273</c:v>
                </c:pt>
                <c:pt idx="50">
                  <c:v>693677.8985925063</c:v>
                </c:pt>
                <c:pt idx="51">
                  <c:v>700445.64811012684</c:v>
                </c:pt>
                <c:pt idx="52">
                  <c:v>707148.63000441145</c:v>
                </c:pt>
                <c:pt idx="53">
                  <c:v>713788.66891946131</c:v>
                </c:pt>
                <c:pt idx="54">
                  <c:v>720367.50540159468</c:v>
                </c:pt>
                <c:pt idx="55">
                  <c:v>726886.80122782313</c:v>
                </c:pt>
                <c:pt idx="56">
                  <c:v>733348.14430795226</c:v>
                </c:pt>
                <c:pt idx="57">
                  <c:v>739753.05320128123</c:v>
                </c:pt>
                <c:pt idx="58">
                  <c:v>746102.98128429812</c:v>
                </c:pt>
                <c:pt idx="59">
                  <c:v>752399.32060177869</c:v>
                </c:pt>
                <c:pt idx="60">
                  <c:v>758643.40543019178</c:v>
                </c:pt>
                <c:pt idx="61">
                  <c:v>764836.51557925681</c:v>
                </c:pt>
                <c:pt idx="62">
                  <c:v>770979.8794547877</c:v>
                </c:pt>
                <c:pt idx="63">
                  <c:v>777074.67690359033</c:v>
                </c:pt>
                <c:pt idx="64">
                  <c:v>783122.0418590703</c:v>
                </c:pt>
                <c:pt idx="65">
                  <c:v>789123.06480435608</c:v>
                </c:pt>
                <c:pt idx="66">
                  <c:v>795078.79506808647</c:v>
                </c:pt>
                <c:pt idx="67">
                  <c:v>800990.24296655483</c:v>
                </c:pt>
                <c:pt idx="68">
                  <c:v>806858.38180458953</c:v>
                </c:pt>
                <c:pt idx="69">
                  <c:v>812684.14974639507</c:v>
                </c:pt>
                <c:pt idx="70">
                  <c:v>818468.45156653505</c:v>
                </c:pt>
                <c:pt idx="71">
                  <c:v>824212.16029031121</c:v>
                </c:pt>
                <c:pt idx="72">
                  <c:v>829916.11873196065</c:v>
                </c:pt>
                <c:pt idx="73">
                  <c:v>835581.14093834255</c:v>
                </c:pt>
                <c:pt idx="74">
                  <c:v>841208.01354511757</c:v>
                </c:pt>
                <c:pt idx="75">
                  <c:v>846797.4970518176</c:v>
                </c:pt>
                <c:pt idx="76">
                  <c:v>852350.32702165563</c:v>
                </c:pt>
                <c:pt idx="77">
                  <c:v>857867.21521143569</c:v>
                </c:pt>
                <c:pt idx="78">
                  <c:v>863348.85063647584</c:v>
                </c:pt>
                <c:pt idx="79">
                  <c:v>868795.9005750569</c:v>
                </c:pt>
                <c:pt idx="80">
                  <c:v>874209.01151653915</c:v>
                </c:pt>
                <c:pt idx="81">
                  <c:v>879588.81005696335</c:v>
                </c:pt>
                <c:pt idx="82">
                  <c:v>884935.90374564705</c:v>
                </c:pt>
                <c:pt idx="83">
                  <c:v>890250.88188601378</c:v>
                </c:pt>
                <c:pt idx="84">
                  <c:v>895534.3162936446</c:v>
                </c:pt>
                <c:pt idx="85">
                  <c:v>900786.76201431046</c:v>
                </c:pt>
                <c:pt idx="86">
                  <c:v>906008.75800453848</c:v>
                </c:pt>
                <c:pt idx="87">
                  <c:v>911200.827777075</c:v>
                </c:pt>
                <c:pt idx="88">
                  <c:v>916363.48001343152</c:v>
                </c:pt>
                <c:pt idx="89">
                  <c:v>921497.20914554433</c:v>
                </c:pt>
                <c:pt idx="90">
                  <c:v>926602.49590842752</c:v>
                </c:pt>
                <c:pt idx="91">
                  <c:v>931679.80786557111</c:v>
                </c:pt>
                <c:pt idx="92">
                  <c:v>936729.5999087079</c:v>
                </c:pt>
                <c:pt idx="93">
                  <c:v>941752.31473345926</c:v>
                </c:pt>
                <c:pt idx="94">
                  <c:v>946748.38329227082</c:v>
                </c:pt>
                <c:pt idx="95">
                  <c:v>951718.22522594826</c:v>
                </c:pt>
                <c:pt idx="96">
                  <c:v>956662.24927501404</c:v>
                </c:pt>
                <c:pt idx="97">
                  <c:v>961580.8536720298</c:v>
                </c:pt>
                <c:pt idx="98">
                  <c:v>966474.42651594756</c:v>
                </c:pt>
                <c:pt idx="99">
                  <c:v>971343.34612948797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40D-48CE-97A9-677BDA8DEDD5}"/>
            </c:ext>
          </c:extLst>
        </c:ser>
        <c:ser>
          <c:idx val="8"/>
          <c:order val="8"/>
          <c:tx>
            <c:strRef>
              <c:f>'Solutions and last graphs'!$CY$5</c:f>
              <c:strCache>
                <c:ptCount val="1"/>
                <c:pt idx="0">
                  <c:v>PF 0.995</c:v>
                </c:pt>
              </c:strCache>
            </c:strRef>
          </c:tx>
          <c:spPr>
            <a:ln w="28575" cap="rnd">
              <a:solidFill>
                <a:srgbClr val="92D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'Solutions and last graphs'!$CP$6:$CP$105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'Solutions and last graphs'!$CY$6:$CY$105</c:f>
              <c:numCache>
                <c:formatCode>General</c:formatCode>
                <c:ptCount val="100"/>
                <c:pt idx="0">
                  <c:v>104967.63622486616</c:v>
                </c:pt>
                <c:pt idx="1">
                  <c:v>148446.65475945114</c:v>
                </c:pt>
                <c:pt idx="2">
                  <c:v>181809.27909187556</c:v>
                </c:pt>
                <c:pt idx="3">
                  <c:v>209935.27244973232</c:v>
                </c:pt>
                <c:pt idx="4">
                  <c:v>234714.77003627014</c:v>
                </c:pt>
                <c:pt idx="5">
                  <c:v>257117.14825700561</c:v>
                </c:pt>
                <c:pt idx="6">
                  <c:v>277718.26116129069</c:v>
                </c:pt>
                <c:pt idx="7">
                  <c:v>296893.30951890227</c:v>
                </c:pt>
                <c:pt idx="8">
                  <c:v>314902.9086745985</c:v>
                </c:pt>
                <c:pt idx="9">
                  <c:v>331936.81107457541</c:v>
                </c:pt>
                <c:pt idx="10">
                  <c:v>348138.26448839862</c:v>
                </c:pt>
                <c:pt idx="11">
                  <c:v>363618.55818375113</c:v>
                </c:pt>
                <c:pt idx="12">
                  <c:v>378466.19467300619</c:v>
                </c:pt>
                <c:pt idx="13">
                  <c:v>392752.93145297043</c:v>
                </c:pt>
                <c:pt idx="14">
                  <c:v>406537.906989665</c:v>
                </c:pt>
                <c:pt idx="15">
                  <c:v>419870.54489946464</c:v>
                </c:pt>
                <c:pt idx="16">
                  <c:v>432792.65142653382</c:v>
                </c:pt>
                <c:pt idx="17">
                  <c:v>445339.96427835332</c:v>
                </c:pt>
                <c:pt idx="18">
                  <c:v>457543.31864653091</c:v>
                </c:pt>
                <c:pt idx="19">
                  <c:v>469429.54007254029</c:v>
                </c:pt>
                <c:pt idx="20">
                  <c:v>481022.13852103782</c:v>
                </c:pt>
                <c:pt idx="21">
                  <c:v>492341.855220525</c:v>
                </c:pt>
                <c:pt idx="22">
                  <c:v>503407.09873483522</c:v>
                </c:pt>
                <c:pt idx="23">
                  <c:v>514234.29651401122</c:v>
                </c:pt>
                <c:pt idx="24">
                  <c:v>524838.18112433085</c:v>
                </c:pt>
                <c:pt idx="25">
                  <c:v>535232.02540630137</c:v>
                </c:pt>
                <c:pt idx="26">
                  <c:v>545427.83727562672</c:v>
                </c:pt>
                <c:pt idx="27">
                  <c:v>555436.52232258138</c:v>
                </c:pt>
                <c:pt idx="28">
                  <c:v>565268.0204862461</c:v>
                </c:pt>
                <c:pt idx="29">
                  <c:v>574931.42168355617</c:v>
                </c:pt>
                <c:pt idx="30">
                  <c:v>584435.06422331545</c:v>
                </c:pt>
                <c:pt idx="31">
                  <c:v>593786.61903780454</c:v>
                </c:pt>
                <c:pt idx="32">
                  <c:v>602993.16215275822</c:v>
                </c:pt>
                <c:pt idx="33">
                  <c:v>612061.23734281561</c:v>
                </c:pt>
                <c:pt idx="34">
                  <c:v>620996.91054968559</c:v>
                </c:pt>
                <c:pt idx="35">
                  <c:v>629805.81734919699</c:v>
                </c:pt>
                <c:pt idx="36">
                  <c:v>638493.20452258992</c:v>
                </c:pt>
                <c:pt idx="37">
                  <c:v>647063.96660311846</c:v>
                </c:pt>
                <c:pt idx="38">
                  <c:v>655522.67812090041</c:v>
                </c:pt>
                <c:pt idx="39">
                  <c:v>663873.62214915082</c:v>
                </c:pt>
                <c:pt idx="40">
                  <c:v>672120.8156574748</c:v>
                </c:pt>
                <c:pt idx="41">
                  <c:v>680268.03209816129</c:v>
                </c:pt>
                <c:pt idx="42">
                  <c:v>688318.82158585556</c:v>
                </c:pt>
                <c:pt idx="43">
                  <c:v>696276.52897679724</c:v>
                </c:pt>
                <c:pt idx="44">
                  <c:v>704144.31010881043</c:v>
                </c:pt>
                <c:pt idx="45">
                  <c:v>711925.14642569574</c:v>
                </c:pt>
                <c:pt idx="46">
                  <c:v>719621.85817822698</c:v>
                </c:pt>
                <c:pt idx="47">
                  <c:v>727237.11636750225</c:v>
                </c:pt>
                <c:pt idx="48">
                  <c:v>734773.45357406314</c:v>
                </c:pt>
                <c:pt idx="49">
                  <c:v>742233.27379725559</c:v>
                </c:pt>
                <c:pt idx="50">
                  <c:v>749618.86141320353</c:v>
                </c:pt>
                <c:pt idx="51">
                  <c:v>756932.38934601238</c:v>
                </c:pt>
                <c:pt idx="52">
                  <c:v>764175.92653504806</c:v>
                </c:pt>
                <c:pt idx="53">
                  <c:v>771351.44477101683</c:v>
                </c:pt>
                <c:pt idx="54">
                  <c:v>778460.82496486034</c:v>
                </c:pt>
                <c:pt idx="55">
                  <c:v>785505.86290594086</c:v>
                </c:pt>
                <c:pt idx="56">
                  <c:v>792488.27455946791</c:v>
                </c:pt>
                <c:pt idx="57">
                  <c:v>799409.70094744186</c:v>
                </c:pt>
                <c:pt idx="58">
                  <c:v>806271.71265244961</c:v>
                </c:pt>
                <c:pt idx="59">
                  <c:v>813075.81397933001</c:v>
                </c:pt>
                <c:pt idx="60">
                  <c:v>819823.44680594851</c:v>
                </c:pt>
                <c:pt idx="61">
                  <c:v>826515.99415100354</c:v>
                </c:pt>
                <c:pt idx="62">
                  <c:v>833154.78348387196</c:v>
                </c:pt>
                <c:pt idx="63">
                  <c:v>839741.08979892929</c:v>
                </c:pt>
                <c:pt idx="64">
                  <c:v>846276.13847451063</c:v>
                </c:pt>
                <c:pt idx="65">
                  <c:v>852761.10793466959</c:v>
                </c:pt>
                <c:pt idx="66">
                  <c:v>859197.13213010726</c:v>
                </c:pt>
                <c:pt idx="67">
                  <c:v>865585.30285306764</c:v>
                </c:pt>
                <c:pt idx="68">
                  <c:v>871926.67189957702</c:v>
                </c:pt>
                <c:pt idx="69">
                  <c:v>878222.25309115718</c:v>
                </c:pt>
                <c:pt idx="70">
                  <c:v>884473.02416701452</c:v>
                </c:pt>
                <c:pt idx="71">
                  <c:v>890679.92855670664</c:v>
                </c:pt>
                <c:pt idx="72">
                  <c:v>896843.87704238459</c:v>
                </c:pt>
                <c:pt idx="73">
                  <c:v>902965.74931890506</c:v>
                </c:pt>
                <c:pt idx="74">
                  <c:v>909046.39545937791</c:v>
                </c:pt>
                <c:pt idx="75">
                  <c:v>915086.63729306182</c:v>
                </c:pt>
                <c:pt idx="76">
                  <c:v>921087.26970193186</c:v>
                </c:pt>
                <c:pt idx="77">
                  <c:v>927049.06184171035</c:v>
                </c:pt>
                <c:pt idx="78">
                  <c:v>932972.75829266896</c:v>
                </c:pt>
                <c:pt idx="79">
                  <c:v>938859.08014508057</c:v>
                </c:pt>
                <c:pt idx="80">
                  <c:v>944708.72602379543</c:v>
                </c:pt>
                <c:pt idx="81">
                  <c:v>950522.37305606785</c:v>
                </c:pt>
                <c:pt idx="82">
                  <c:v>956300.67778642417</c:v>
                </c:pt>
                <c:pt idx="83">
                  <c:v>962044.27704207564</c:v>
                </c:pt>
                <c:pt idx="84">
                  <c:v>967753.7887521009</c:v>
                </c:pt>
                <c:pt idx="85">
                  <c:v>973429.81272338366</c:v>
                </c:pt>
                <c:pt idx="86">
                  <c:v>979072.93137606338</c:v>
                </c:pt>
                <c:pt idx="87">
                  <c:v>984683.71044105</c:v>
                </c:pt>
                <c:pt idx="88">
                  <c:v>990262.69962196855</c:v>
                </c:pt>
                <c:pt idx="89">
                  <c:v>995810.43322372611</c:v>
                </c:pt>
                <c:pt idx="90">
                  <c:v>1001327.4307497328</c:v>
                </c:pt>
                <c:pt idx="91">
                  <c:v>1006814.1974696704</c:v>
                </c:pt>
                <c:pt idx="92">
                  <c:v>1012271.2249595622</c:v>
                </c:pt>
                <c:pt idx="93">
                  <c:v>1017698.9916157767</c:v>
                </c:pt>
                <c:pt idx="94">
                  <c:v>1023097.9631444899</c:v>
                </c:pt>
                <c:pt idx="95">
                  <c:v>1028468.5930280224</c:v>
                </c:pt>
                <c:pt idx="96">
                  <c:v>1033811.3229693684</c:v>
                </c:pt>
                <c:pt idx="97">
                  <c:v>1039126.5833161578</c:v>
                </c:pt>
                <c:pt idx="98">
                  <c:v>1044414.7934651958</c:v>
                </c:pt>
                <c:pt idx="99">
                  <c:v>1049676.3622486617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40D-48CE-97A9-677BDA8DE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4369056"/>
        <c:axId val="634373976"/>
      </c:lineChart>
      <c:catAx>
        <c:axId val="634369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in 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373976"/>
        <c:crosses val="autoZero"/>
        <c:auto val="1"/>
        <c:lblAlgn val="ctr"/>
        <c:lblOffset val="100"/>
        <c:noMultiLvlLbl val="0"/>
      </c:catAx>
      <c:valAx>
        <c:axId val="634373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Potential</a:t>
                </a:r>
                <a:r>
                  <a:rPr lang="en-US" baseline="0"/>
                  <a:t> Loss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369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448964126872143"/>
          <c:y val="9.0907545700868952E-2"/>
          <c:w val="0.10863781829129344"/>
          <c:h val="0.799977474618835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Historical Method Value at Risk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'Solutions and last graphs'!$CA$134</c:f>
              <c:strCache>
                <c:ptCount val="1"/>
                <c:pt idx="0">
                  <c:v>ENPH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'Solutions and last graphs'!$CB$133:$CD$133</c:f>
              <c:numCache>
                <c:formatCode>0%</c:formatCode>
                <c:ptCount val="3"/>
                <c:pt idx="0">
                  <c:v>0.95</c:v>
                </c:pt>
                <c:pt idx="1">
                  <c:v>0.99</c:v>
                </c:pt>
                <c:pt idx="2" formatCode="0.00%">
                  <c:v>0.995</c:v>
                </c:pt>
              </c:numCache>
            </c:numRef>
          </c:cat>
          <c:val>
            <c:numRef>
              <c:f>'Solutions and last graphs'!$CB$134:$CD$134</c:f>
              <c:numCache>
                <c:formatCode>General</c:formatCode>
                <c:ptCount val="3"/>
                <c:pt idx="0">
                  <c:v>32322.0629594905</c:v>
                </c:pt>
                <c:pt idx="1">
                  <c:v>55558.82449267256</c:v>
                </c:pt>
                <c:pt idx="2">
                  <c:v>60048.258796693313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A8-472A-A601-54D1D1503213}"/>
            </c:ext>
          </c:extLst>
        </c:ser>
        <c:ser>
          <c:idx val="1"/>
          <c:order val="1"/>
          <c:tx>
            <c:strRef>
              <c:f>'Solutions and last graphs'!$CA$135</c:f>
              <c:strCache>
                <c:ptCount val="1"/>
                <c:pt idx="0">
                  <c:v>SEDG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'Solutions and last graphs'!$CB$133:$CD$133</c:f>
              <c:numCache>
                <c:formatCode>0%</c:formatCode>
                <c:ptCount val="3"/>
                <c:pt idx="0">
                  <c:v>0.95</c:v>
                </c:pt>
                <c:pt idx="1">
                  <c:v>0.99</c:v>
                </c:pt>
                <c:pt idx="2" formatCode="0.00%">
                  <c:v>0.995</c:v>
                </c:pt>
              </c:numCache>
            </c:numRef>
          </c:cat>
          <c:val>
            <c:numRef>
              <c:f>'Solutions and last graphs'!$CB$135:$CD$135</c:f>
              <c:numCache>
                <c:formatCode>General</c:formatCode>
                <c:ptCount val="3"/>
                <c:pt idx="0">
                  <c:v>29555.57522192557</c:v>
                </c:pt>
                <c:pt idx="1">
                  <c:v>47348.841918919476</c:v>
                </c:pt>
                <c:pt idx="2">
                  <c:v>50304.18801366043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A8-472A-A601-54D1D1503213}"/>
            </c:ext>
          </c:extLst>
        </c:ser>
        <c:ser>
          <c:idx val="2"/>
          <c:order val="2"/>
          <c:tx>
            <c:strRef>
              <c:f>'Solutions and last graphs'!$CA$136</c:f>
              <c:strCache>
                <c:ptCount val="1"/>
                <c:pt idx="0">
                  <c:v>Portfolio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'Solutions and last graphs'!$CB$133:$CD$133</c:f>
              <c:numCache>
                <c:formatCode>0%</c:formatCode>
                <c:ptCount val="3"/>
                <c:pt idx="0">
                  <c:v>0.95</c:v>
                </c:pt>
                <c:pt idx="1">
                  <c:v>0.99</c:v>
                </c:pt>
                <c:pt idx="2" formatCode="0.00%">
                  <c:v>0.995</c:v>
                </c:pt>
              </c:numCache>
            </c:numRef>
          </c:cat>
          <c:val>
            <c:numRef>
              <c:f>'Solutions and last graphs'!$CB$136:$CD$136</c:f>
              <c:numCache>
                <c:formatCode>General</c:formatCode>
                <c:ptCount val="3"/>
                <c:pt idx="0">
                  <c:v>57215.289857742762</c:v>
                </c:pt>
                <c:pt idx="1">
                  <c:v>97134.334612948791</c:v>
                </c:pt>
                <c:pt idx="2">
                  <c:v>104967.63622486616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A8-472A-A601-54D1D1503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862080"/>
        <c:axId val="659860112"/>
      </c:lineChart>
      <c:catAx>
        <c:axId val="659862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Confidence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60112"/>
        <c:crosses val="autoZero"/>
        <c:auto val="1"/>
        <c:lblAlgn val="ctr"/>
        <c:lblOffset val="100"/>
        <c:noMultiLvlLbl val="0"/>
      </c:catAx>
      <c:valAx>
        <c:axId val="65986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Potential</a:t>
                </a:r>
                <a:r>
                  <a:rPr lang="en-US" sz="1200" baseline="0"/>
                  <a:t> Loss in USD</a:t>
                </a:r>
                <a:endParaRPr 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6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Historical Daily</a:t>
            </a:r>
            <a:r>
              <a:rPr lang="en-US" sz="1800" baseline="0"/>
              <a:t> Returns Over Six Months</a:t>
            </a:r>
            <a:endParaRPr lang="en-US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'First three graphs'!$B$1</c:f>
              <c:strCache>
                <c:ptCount val="1"/>
                <c:pt idx="0">
                  <c:v>ENPH Returns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'First three graphs'!$A$2:$A$124</c:f>
              <c:numCache>
                <c:formatCode>m/d/yyyy</c:formatCode>
                <c:ptCount val="123"/>
                <c:pt idx="0">
                  <c:v>44502</c:v>
                </c:pt>
                <c:pt idx="1">
                  <c:v>44503</c:v>
                </c:pt>
                <c:pt idx="2">
                  <c:v>44504</c:v>
                </c:pt>
                <c:pt idx="3">
                  <c:v>44505</c:v>
                </c:pt>
                <c:pt idx="4">
                  <c:v>44508</c:v>
                </c:pt>
                <c:pt idx="5">
                  <c:v>44509</c:v>
                </c:pt>
                <c:pt idx="6">
                  <c:v>44510</c:v>
                </c:pt>
                <c:pt idx="7">
                  <c:v>44511</c:v>
                </c:pt>
                <c:pt idx="8">
                  <c:v>44512</c:v>
                </c:pt>
                <c:pt idx="9">
                  <c:v>44515</c:v>
                </c:pt>
                <c:pt idx="10">
                  <c:v>44516</c:v>
                </c:pt>
                <c:pt idx="11">
                  <c:v>44517</c:v>
                </c:pt>
                <c:pt idx="12">
                  <c:v>44518</c:v>
                </c:pt>
                <c:pt idx="13">
                  <c:v>44519</c:v>
                </c:pt>
                <c:pt idx="14">
                  <c:v>44522</c:v>
                </c:pt>
                <c:pt idx="15">
                  <c:v>44523</c:v>
                </c:pt>
                <c:pt idx="16">
                  <c:v>44524</c:v>
                </c:pt>
                <c:pt idx="17">
                  <c:v>44526</c:v>
                </c:pt>
                <c:pt idx="18">
                  <c:v>44529</c:v>
                </c:pt>
                <c:pt idx="19">
                  <c:v>44530</c:v>
                </c:pt>
                <c:pt idx="20">
                  <c:v>44531</c:v>
                </c:pt>
                <c:pt idx="21">
                  <c:v>44532</c:v>
                </c:pt>
                <c:pt idx="22">
                  <c:v>44533</c:v>
                </c:pt>
                <c:pt idx="23">
                  <c:v>44536</c:v>
                </c:pt>
                <c:pt idx="24">
                  <c:v>44537</c:v>
                </c:pt>
                <c:pt idx="25">
                  <c:v>44538</c:v>
                </c:pt>
                <c:pt idx="26">
                  <c:v>44539</c:v>
                </c:pt>
                <c:pt idx="27">
                  <c:v>44540</c:v>
                </c:pt>
                <c:pt idx="28">
                  <c:v>44543</c:v>
                </c:pt>
                <c:pt idx="29">
                  <c:v>44544</c:v>
                </c:pt>
                <c:pt idx="30">
                  <c:v>44545</c:v>
                </c:pt>
                <c:pt idx="31">
                  <c:v>44546</c:v>
                </c:pt>
                <c:pt idx="32">
                  <c:v>44547</c:v>
                </c:pt>
                <c:pt idx="33">
                  <c:v>44550</c:v>
                </c:pt>
                <c:pt idx="34">
                  <c:v>44551</c:v>
                </c:pt>
                <c:pt idx="35">
                  <c:v>44552</c:v>
                </c:pt>
                <c:pt idx="36">
                  <c:v>44553</c:v>
                </c:pt>
                <c:pt idx="37">
                  <c:v>44557</c:v>
                </c:pt>
                <c:pt idx="38">
                  <c:v>44558</c:v>
                </c:pt>
                <c:pt idx="39">
                  <c:v>44559</c:v>
                </c:pt>
                <c:pt idx="40">
                  <c:v>44560</c:v>
                </c:pt>
                <c:pt idx="41">
                  <c:v>44561</c:v>
                </c:pt>
                <c:pt idx="42">
                  <c:v>44564</c:v>
                </c:pt>
                <c:pt idx="43">
                  <c:v>44565</c:v>
                </c:pt>
                <c:pt idx="44">
                  <c:v>44566</c:v>
                </c:pt>
                <c:pt idx="45">
                  <c:v>44567</c:v>
                </c:pt>
                <c:pt idx="46">
                  <c:v>44568</c:v>
                </c:pt>
                <c:pt idx="47">
                  <c:v>44571</c:v>
                </c:pt>
                <c:pt idx="48">
                  <c:v>44572</c:v>
                </c:pt>
                <c:pt idx="49">
                  <c:v>44573</c:v>
                </c:pt>
                <c:pt idx="50">
                  <c:v>44574</c:v>
                </c:pt>
                <c:pt idx="51">
                  <c:v>44575</c:v>
                </c:pt>
                <c:pt idx="52">
                  <c:v>44579</c:v>
                </c:pt>
                <c:pt idx="53">
                  <c:v>44580</c:v>
                </c:pt>
                <c:pt idx="54">
                  <c:v>44581</c:v>
                </c:pt>
                <c:pt idx="55">
                  <c:v>44582</c:v>
                </c:pt>
                <c:pt idx="56">
                  <c:v>44585</c:v>
                </c:pt>
                <c:pt idx="57">
                  <c:v>44586</c:v>
                </c:pt>
                <c:pt idx="58">
                  <c:v>44587</c:v>
                </c:pt>
                <c:pt idx="59">
                  <c:v>44588</c:v>
                </c:pt>
                <c:pt idx="60">
                  <c:v>44589</c:v>
                </c:pt>
                <c:pt idx="61">
                  <c:v>44592</c:v>
                </c:pt>
                <c:pt idx="62">
                  <c:v>44593</c:v>
                </c:pt>
                <c:pt idx="63">
                  <c:v>44594</c:v>
                </c:pt>
                <c:pt idx="64">
                  <c:v>44595</c:v>
                </c:pt>
                <c:pt idx="65">
                  <c:v>44596</c:v>
                </c:pt>
                <c:pt idx="66">
                  <c:v>44599</c:v>
                </c:pt>
                <c:pt idx="67">
                  <c:v>44600</c:v>
                </c:pt>
                <c:pt idx="68">
                  <c:v>44601</c:v>
                </c:pt>
                <c:pt idx="69">
                  <c:v>44602</c:v>
                </c:pt>
                <c:pt idx="70">
                  <c:v>44603</c:v>
                </c:pt>
                <c:pt idx="71">
                  <c:v>44606</c:v>
                </c:pt>
                <c:pt idx="72">
                  <c:v>44607</c:v>
                </c:pt>
                <c:pt idx="73">
                  <c:v>44608</c:v>
                </c:pt>
                <c:pt idx="74">
                  <c:v>44609</c:v>
                </c:pt>
                <c:pt idx="75">
                  <c:v>44610</c:v>
                </c:pt>
                <c:pt idx="76">
                  <c:v>44614</c:v>
                </c:pt>
                <c:pt idx="77">
                  <c:v>44615</c:v>
                </c:pt>
                <c:pt idx="78">
                  <c:v>44616</c:v>
                </c:pt>
                <c:pt idx="79">
                  <c:v>44617</c:v>
                </c:pt>
                <c:pt idx="80">
                  <c:v>44620</c:v>
                </c:pt>
                <c:pt idx="81">
                  <c:v>44621</c:v>
                </c:pt>
                <c:pt idx="82">
                  <c:v>44622</c:v>
                </c:pt>
                <c:pt idx="83">
                  <c:v>44623</c:v>
                </c:pt>
                <c:pt idx="84">
                  <c:v>44624</c:v>
                </c:pt>
                <c:pt idx="85">
                  <c:v>44627</c:v>
                </c:pt>
                <c:pt idx="86">
                  <c:v>44628</c:v>
                </c:pt>
                <c:pt idx="87">
                  <c:v>44629</c:v>
                </c:pt>
                <c:pt idx="88">
                  <c:v>44630</c:v>
                </c:pt>
                <c:pt idx="89">
                  <c:v>44631</c:v>
                </c:pt>
                <c:pt idx="90">
                  <c:v>44634</c:v>
                </c:pt>
                <c:pt idx="91">
                  <c:v>44635</c:v>
                </c:pt>
                <c:pt idx="92">
                  <c:v>44636</c:v>
                </c:pt>
                <c:pt idx="93">
                  <c:v>44637</c:v>
                </c:pt>
                <c:pt idx="94">
                  <c:v>44638</c:v>
                </c:pt>
                <c:pt idx="95">
                  <c:v>44641</c:v>
                </c:pt>
                <c:pt idx="96">
                  <c:v>44642</c:v>
                </c:pt>
                <c:pt idx="97">
                  <c:v>44643</c:v>
                </c:pt>
                <c:pt idx="98">
                  <c:v>44644</c:v>
                </c:pt>
                <c:pt idx="99">
                  <c:v>44645</c:v>
                </c:pt>
                <c:pt idx="100">
                  <c:v>44648</c:v>
                </c:pt>
                <c:pt idx="101">
                  <c:v>44649</c:v>
                </c:pt>
                <c:pt idx="102">
                  <c:v>44650</c:v>
                </c:pt>
                <c:pt idx="103">
                  <c:v>44651</c:v>
                </c:pt>
                <c:pt idx="104">
                  <c:v>44652</c:v>
                </c:pt>
                <c:pt idx="105">
                  <c:v>44655</c:v>
                </c:pt>
                <c:pt idx="106">
                  <c:v>44656</c:v>
                </c:pt>
                <c:pt idx="107">
                  <c:v>44657</c:v>
                </c:pt>
                <c:pt idx="108">
                  <c:v>44658</c:v>
                </c:pt>
                <c:pt idx="109">
                  <c:v>44659</c:v>
                </c:pt>
                <c:pt idx="110">
                  <c:v>44662</c:v>
                </c:pt>
                <c:pt idx="111">
                  <c:v>44663</c:v>
                </c:pt>
                <c:pt idx="112">
                  <c:v>44664</c:v>
                </c:pt>
                <c:pt idx="113">
                  <c:v>44665</c:v>
                </c:pt>
                <c:pt idx="114">
                  <c:v>44669</c:v>
                </c:pt>
                <c:pt idx="115">
                  <c:v>44670</c:v>
                </c:pt>
                <c:pt idx="116">
                  <c:v>44671</c:v>
                </c:pt>
                <c:pt idx="117">
                  <c:v>44672</c:v>
                </c:pt>
                <c:pt idx="118">
                  <c:v>44673</c:v>
                </c:pt>
                <c:pt idx="119">
                  <c:v>44676</c:v>
                </c:pt>
                <c:pt idx="120">
                  <c:v>44677</c:v>
                </c:pt>
                <c:pt idx="121">
                  <c:v>44678</c:v>
                </c:pt>
                <c:pt idx="122">
                  <c:v>44679</c:v>
                </c:pt>
              </c:numCache>
            </c:numRef>
          </c:cat>
          <c:val>
            <c:numRef>
              <c:f>'First three graphs'!$B$2:$B$124</c:f>
              <c:numCache>
                <c:formatCode>General</c:formatCode>
                <c:ptCount val="123"/>
                <c:pt idx="0">
                  <c:v>3.4106090875402742E-2</c:v>
                </c:pt>
                <c:pt idx="1">
                  <c:v>-8.0156890912022778E-3</c:v>
                </c:pt>
                <c:pt idx="2">
                  <c:v>-4.3348301656713668E-3</c:v>
                </c:pt>
                <c:pt idx="3">
                  <c:v>2.5445954641593081E-2</c:v>
                </c:pt>
                <c:pt idx="4">
                  <c:v>-1.9373503230663627E-2</c:v>
                </c:pt>
                <c:pt idx="5">
                  <c:v>1.5636826792017475E-2</c:v>
                </c:pt>
                <c:pt idx="6">
                  <c:v>-9.2293520658337895E-3</c:v>
                </c:pt>
                <c:pt idx="7">
                  <c:v>-3.3042328556089719E-2</c:v>
                </c:pt>
                <c:pt idx="8">
                  <c:v>8.2123765891200365E-2</c:v>
                </c:pt>
                <c:pt idx="9">
                  <c:v>4.5111181182658057E-3</c:v>
                </c:pt>
                <c:pt idx="10">
                  <c:v>-2.7461998797035182E-2</c:v>
                </c:pt>
                <c:pt idx="11">
                  <c:v>2.8114865772530601E-2</c:v>
                </c:pt>
                <c:pt idx="12">
                  <c:v>1.29973570173275E-2</c:v>
                </c:pt>
                <c:pt idx="13">
                  <c:v>-1.4910342874871574E-3</c:v>
                </c:pt>
                <c:pt idx="14">
                  <c:v>5.2106233135904234E-2</c:v>
                </c:pt>
                <c:pt idx="15">
                  <c:v>-2.4725462191882357E-2</c:v>
                </c:pt>
                <c:pt idx="16">
                  <c:v>-4.0670937512847366E-2</c:v>
                </c:pt>
                <c:pt idx="17">
                  <c:v>1.836329740518965E-2</c:v>
                </c:pt>
                <c:pt idx="18">
                  <c:v>-3.0105871498881952E-2</c:v>
                </c:pt>
                <c:pt idx="19">
                  <c:v>3.7547462109348208E-2</c:v>
                </c:pt>
                <c:pt idx="20">
                  <c:v>-2.6138410016149322E-2</c:v>
                </c:pt>
                <c:pt idx="21">
                  <c:v>-5.2559995999999956E-2</c:v>
                </c:pt>
                <c:pt idx="22">
                  <c:v>-7.8527442039486063E-3</c:v>
                </c:pt>
                <c:pt idx="23">
                  <c:v>-7.6170187234042522E-2</c:v>
                </c:pt>
                <c:pt idx="24">
                  <c:v>-1.9161694541823343E-2</c:v>
                </c:pt>
                <c:pt idx="25">
                  <c:v>4.5177025968094128E-2</c:v>
                </c:pt>
                <c:pt idx="26">
                  <c:v>1.3704183264775207E-2</c:v>
                </c:pt>
                <c:pt idx="27">
                  <c:v>-4.104425760806589E-2</c:v>
                </c:pt>
                <c:pt idx="28">
                  <c:v>-6.1474553414156479E-3</c:v>
                </c:pt>
                <c:pt idx="29">
                  <c:v>-6.9760951171780276E-3</c:v>
                </c:pt>
                <c:pt idx="30">
                  <c:v>-5.2454087627311942E-2</c:v>
                </c:pt>
                <c:pt idx="31">
                  <c:v>8.5013144547785909E-3</c:v>
                </c:pt>
                <c:pt idx="32">
                  <c:v>-6.4644125918980999E-2</c:v>
                </c:pt>
                <c:pt idx="33">
                  <c:v>-9.117133588143542E-3</c:v>
                </c:pt>
                <c:pt idx="34">
                  <c:v>-5.4888715272123606E-2</c:v>
                </c:pt>
                <c:pt idx="35">
                  <c:v>5.7460998320617657E-2</c:v>
                </c:pt>
                <c:pt idx="36">
                  <c:v>1.7460423280423675E-3</c:v>
                </c:pt>
                <c:pt idx="37">
                  <c:v>-6.1268894931930272E-3</c:v>
                </c:pt>
                <c:pt idx="38">
                  <c:v>2.7634798614389108E-3</c:v>
                </c:pt>
                <c:pt idx="39">
                  <c:v>-1.0069473633266393E-2</c:v>
                </c:pt>
                <c:pt idx="40">
                  <c:v>-7.0667168984797453E-3</c:v>
                </c:pt>
                <c:pt idx="41">
                  <c:v>5.068221248351587E-3</c:v>
                </c:pt>
                <c:pt idx="42">
                  <c:v>-1.8614891505500927E-2</c:v>
                </c:pt>
                <c:pt idx="43">
                  <c:v>8.2540449518525953E-3</c:v>
                </c:pt>
                <c:pt idx="44">
                  <c:v>-3.3450789375724377E-2</c:v>
                </c:pt>
                <c:pt idx="45">
                  <c:v>-0.11824098114337553</c:v>
                </c:pt>
                <c:pt idx="46">
                  <c:v>-3.6323105018888774E-2</c:v>
                </c:pt>
                <c:pt idx="47">
                  <c:v>-4.1982967787214644E-2</c:v>
                </c:pt>
                <c:pt idx="48">
                  <c:v>1.3780747819859855E-2</c:v>
                </c:pt>
                <c:pt idx="49">
                  <c:v>9.3793920553458289E-3</c:v>
                </c:pt>
                <c:pt idx="50">
                  <c:v>5.1848631467531874E-3</c:v>
                </c:pt>
                <c:pt idx="51">
                  <c:v>-3.8786133700335887E-2</c:v>
                </c:pt>
                <c:pt idx="52">
                  <c:v>-4.5299949637605972E-3</c:v>
                </c:pt>
                <c:pt idx="53">
                  <c:v>-4.8445800852584875E-2</c:v>
                </c:pt>
                <c:pt idx="54">
                  <c:v>-9.8587111515406663E-3</c:v>
                </c:pt>
                <c:pt idx="55">
                  <c:v>8.1735769330710227E-4</c:v>
                </c:pt>
                <c:pt idx="56">
                  <c:v>-6.4370071061399123E-2</c:v>
                </c:pt>
                <c:pt idx="57">
                  <c:v>1.6505388426568554E-2</c:v>
                </c:pt>
                <c:pt idx="58">
                  <c:v>-4.2544916040050826E-2</c:v>
                </c:pt>
                <c:pt idx="59">
                  <c:v>-7.3379697132006623E-3</c:v>
                </c:pt>
                <c:pt idx="60">
                  <c:v>-1.4620114989733089E-2</c:v>
                </c:pt>
                <c:pt idx="61">
                  <c:v>3.2424772589607638E-2</c:v>
                </c:pt>
                <c:pt idx="62">
                  <c:v>0.13410301845548991</c:v>
                </c:pt>
                <c:pt idx="63">
                  <c:v>1.5661685657708483E-2</c:v>
                </c:pt>
                <c:pt idx="64">
                  <c:v>-2.2149036547964268E-2</c:v>
                </c:pt>
                <c:pt idx="65">
                  <c:v>-4.7308373855221034E-2</c:v>
                </c:pt>
                <c:pt idx="66">
                  <c:v>6.259868895948581E-2</c:v>
                </c:pt>
                <c:pt idx="67">
                  <c:v>-3.2570417972680515E-3</c:v>
                </c:pt>
                <c:pt idx="68">
                  <c:v>2.6497093798477124E-2</c:v>
                </c:pt>
                <c:pt idx="69">
                  <c:v>0.12034601384083038</c:v>
                </c:pt>
                <c:pt idx="70">
                  <c:v>-4.4783495242346628E-2</c:v>
                </c:pt>
                <c:pt idx="71">
                  <c:v>-5.7876338967125816E-2</c:v>
                </c:pt>
                <c:pt idx="72">
                  <c:v>-1.2080506389175537E-2</c:v>
                </c:pt>
                <c:pt idx="73">
                  <c:v>7.1979437948003058E-2</c:v>
                </c:pt>
                <c:pt idx="74">
                  <c:v>-1.6850995644286926E-3</c:v>
                </c:pt>
                <c:pt idx="75">
                  <c:v>-3.6746114631864765E-2</c:v>
                </c:pt>
                <c:pt idx="76">
                  <c:v>-5.4053981736671093E-2</c:v>
                </c:pt>
                <c:pt idx="77">
                  <c:v>-5.2155373616442909E-2</c:v>
                </c:pt>
                <c:pt idx="78">
                  <c:v>-4.8635653977566445E-2</c:v>
                </c:pt>
                <c:pt idx="79">
                  <c:v>0.16426997731147258</c:v>
                </c:pt>
                <c:pt idx="80">
                  <c:v>4.3298199797833684E-2</c:v>
                </c:pt>
                <c:pt idx="81">
                  <c:v>8.4368707067422263E-2</c:v>
                </c:pt>
                <c:pt idx="82">
                  <c:v>2.3395375346047617E-2</c:v>
                </c:pt>
                <c:pt idx="83">
                  <c:v>-3.9331809871097065E-2</c:v>
                </c:pt>
                <c:pt idx="84">
                  <c:v>-2.9654036424760645E-2</c:v>
                </c:pt>
                <c:pt idx="85">
                  <c:v>-5.5335786048770035E-3</c:v>
                </c:pt>
                <c:pt idx="86">
                  <c:v>4.1732786913669748E-3</c:v>
                </c:pt>
                <c:pt idx="87">
                  <c:v>0.10817963110861564</c:v>
                </c:pt>
                <c:pt idx="88">
                  <c:v>2.204664975150147E-2</c:v>
                </c:pt>
                <c:pt idx="89">
                  <c:v>-6.3934732416042628E-3</c:v>
                </c:pt>
                <c:pt idx="90">
                  <c:v>-4.2804352938650626E-2</c:v>
                </c:pt>
                <c:pt idx="91">
                  <c:v>-7.8505918340203346E-2</c:v>
                </c:pt>
                <c:pt idx="92">
                  <c:v>4.4404973638701939E-2</c:v>
                </c:pt>
                <c:pt idx="93">
                  <c:v>7.6348445556052288E-2</c:v>
                </c:pt>
                <c:pt idx="94">
                  <c:v>2.0540595091788568E-2</c:v>
                </c:pt>
                <c:pt idx="95">
                  <c:v>2.0293048815270665E-2</c:v>
                </c:pt>
                <c:pt idx="96">
                  <c:v>5.0400660082361376E-3</c:v>
                </c:pt>
                <c:pt idx="97">
                  <c:v>2.0490714809771628E-2</c:v>
                </c:pt>
                <c:pt idx="98">
                  <c:v>4.9669854689563678E-3</c:v>
                </c:pt>
                <c:pt idx="99">
                  <c:v>4.0222902989401205E-2</c:v>
                </c:pt>
                <c:pt idx="100">
                  <c:v>-2.0369986258996921E-2</c:v>
                </c:pt>
                <c:pt idx="101">
                  <c:v>8.8231051939848468E-3</c:v>
                </c:pt>
                <c:pt idx="102">
                  <c:v>3.4983617328485789E-2</c:v>
                </c:pt>
                <c:pt idx="103">
                  <c:v>-2.8217073392878756E-2</c:v>
                </c:pt>
                <c:pt idx="104">
                  <c:v>2.608698274356424E-2</c:v>
                </c:pt>
                <c:pt idx="105">
                  <c:v>2.0368718507130061E-2</c:v>
                </c:pt>
                <c:pt idx="106">
                  <c:v>5.0949565549320452E-2</c:v>
                </c:pt>
                <c:pt idx="107">
                  <c:v>-2.3800761997394403E-2</c:v>
                </c:pt>
                <c:pt idx="108">
                  <c:v>-3.427539240212836E-2</c:v>
                </c:pt>
                <c:pt idx="109">
                  <c:v>1.4510475648059325E-2</c:v>
                </c:pt>
                <c:pt idx="110">
                  <c:v>-5.7066915540955568E-2</c:v>
                </c:pt>
                <c:pt idx="111">
                  <c:v>-3.7204028068074234E-2</c:v>
                </c:pt>
                <c:pt idx="112">
                  <c:v>-1.0272556677864763E-2</c:v>
                </c:pt>
                <c:pt idx="113">
                  <c:v>3.9150304476745994E-2</c:v>
                </c:pt>
                <c:pt idx="114">
                  <c:v>-1.4076494624571624E-2</c:v>
                </c:pt>
                <c:pt idx="115">
                  <c:v>-2.5195318492344711E-3</c:v>
                </c:pt>
                <c:pt idx="116">
                  <c:v>2.9311198386103257E-2</c:v>
                </c:pt>
                <c:pt idx="117">
                  <c:v>-8.7269971760634835E-2</c:v>
                </c:pt>
                <c:pt idx="118">
                  <c:v>-0.12306055633820956</c:v>
                </c:pt>
                <c:pt idx="119">
                  <c:v>-1.8714825226300757E-2</c:v>
                </c:pt>
                <c:pt idx="120">
                  <c:v>2.5841312704507145E-2</c:v>
                </c:pt>
                <c:pt idx="121">
                  <c:v>-2.3921344266953897E-2</c:v>
                </c:pt>
                <c:pt idx="122">
                  <c:v>7.7228140450781385E-2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2E-4BE6-971A-27B3CD3DB13A}"/>
            </c:ext>
          </c:extLst>
        </c:ser>
        <c:ser>
          <c:idx val="1"/>
          <c:order val="1"/>
          <c:tx>
            <c:strRef>
              <c:f>'First three graphs'!$C$1</c:f>
              <c:strCache>
                <c:ptCount val="1"/>
                <c:pt idx="0">
                  <c:v>SEDG Returns </c:v>
                </c:pt>
              </c:strCache>
            </c:strRef>
          </c:tx>
          <c:spPr>
            <a:ln w="19050" cap="rnd">
              <a:solidFill>
                <a:srgbClr val="FF0000">
                  <a:alpha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'First three graphs'!$A$2:$A$124</c:f>
              <c:numCache>
                <c:formatCode>m/d/yyyy</c:formatCode>
                <c:ptCount val="123"/>
                <c:pt idx="0">
                  <c:v>44502</c:v>
                </c:pt>
                <c:pt idx="1">
                  <c:v>44503</c:v>
                </c:pt>
                <c:pt idx="2">
                  <c:v>44504</c:v>
                </c:pt>
                <c:pt idx="3">
                  <c:v>44505</c:v>
                </c:pt>
                <c:pt idx="4">
                  <c:v>44508</c:v>
                </c:pt>
                <c:pt idx="5">
                  <c:v>44509</c:v>
                </c:pt>
                <c:pt idx="6">
                  <c:v>44510</c:v>
                </c:pt>
                <c:pt idx="7">
                  <c:v>44511</c:v>
                </c:pt>
                <c:pt idx="8">
                  <c:v>44512</c:v>
                </c:pt>
                <c:pt idx="9">
                  <c:v>44515</c:v>
                </c:pt>
                <c:pt idx="10">
                  <c:v>44516</c:v>
                </c:pt>
                <c:pt idx="11">
                  <c:v>44517</c:v>
                </c:pt>
                <c:pt idx="12">
                  <c:v>44518</c:v>
                </c:pt>
                <c:pt idx="13">
                  <c:v>44519</c:v>
                </c:pt>
                <c:pt idx="14">
                  <c:v>44522</c:v>
                </c:pt>
                <c:pt idx="15">
                  <c:v>44523</c:v>
                </c:pt>
                <c:pt idx="16">
                  <c:v>44524</c:v>
                </c:pt>
                <c:pt idx="17">
                  <c:v>44526</c:v>
                </c:pt>
                <c:pt idx="18">
                  <c:v>44529</c:v>
                </c:pt>
                <c:pt idx="19">
                  <c:v>44530</c:v>
                </c:pt>
                <c:pt idx="20">
                  <c:v>44531</c:v>
                </c:pt>
                <c:pt idx="21">
                  <c:v>44532</c:v>
                </c:pt>
                <c:pt idx="22">
                  <c:v>44533</c:v>
                </c:pt>
                <c:pt idx="23">
                  <c:v>44536</c:v>
                </c:pt>
                <c:pt idx="24">
                  <c:v>44537</c:v>
                </c:pt>
                <c:pt idx="25">
                  <c:v>44538</c:v>
                </c:pt>
                <c:pt idx="26">
                  <c:v>44539</c:v>
                </c:pt>
                <c:pt idx="27">
                  <c:v>44540</c:v>
                </c:pt>
                <c:pt idx="28">
                  <c:v>44543</c:v>
                </c:pt>
                <c:pt idx="29">
                  <c:v>44544</c:v>
                </c:pt>
                <c:pt idx="30">
                  <c:v>44545</c:v>
                </c:pt>
                <c:pt idx="31">
                  <c:v>44546</c:v>
                </c:pt>
                <c:pt idx="32">
                  <c:v>44547</c:v>
                </c:pt>
                <c:pt idx="33">
                  <c:v>44550</c:v>
                </c:pt>
                <c:pt idx="34">
                  <c:v>44551</c:v>
                </c:pt>
                <c:pt idx="35">
                  <c:v>44552</c:v>
                </c:pt>
                <c:pt idx="36">
                  <c:v>44553</c:v>
                </c:pt>
                <c:pt idx="37">
                  <c:v>44557</c:v>
                </c:pt>
                <c:pt idx="38">
                  <c:v>44558</c:v>
                </c:pt>
                <c:pt idx="39">
                  <c:v>44559</c:v>
                </c:pt>
                <c:pt idx="40">
                  <c:v>44560</c:v>
                </c:pt>
                <c:pt idx="41">
                  <c:v>44561</c:v>
                </c:pt>
                <c:pt idx="42">
                  <c:v>44564</c:v>
                </c:pt>
                <c:pt idx="43">
                  <c:v>44565</c:v>
                </c:pt>
                <c:pt idx="44">
                  <c:v>44566</c:v>
                </c:pt>
                <c:pt idx="45">
                  <c:v>44567</c:v>
                </c:pt>
                <c:pt idx="46">
                  <c:v>44568</c:v>
                </c:pt>
                <c:pt idx="47">
                  <c:v>44571</c:v>
                </c:pt>
                <c:pt idx="48">
                  <c:v>44572</c:v>
                </c:pt>
                <c:pt idx="49">
                  <c:v>44573</c:v>
                </c:pt>
                <c:pt idx="50">
                  <c:v>44574</c:v>
                </c:pt>
                <c:pt idx="51">
                  <c:v>44575</c:v>
                </c:pt>
                <c:pt idx="52">
                  <c:v>44579</c:v>
                </c:pt>
                <c:pt idx="53">
                  <c:v>44580</c:v>
                </c:pt>
                <c:pt idx="54">
                  <c:v>44581</c:v>
                </c:pt>
                <c:pt idx="55">
                  <c:v>44582</c:v>
                </c:pt>
                <c:pt idx="56">
                  <c:v>44585</c:v>
                </c:pt>
                <c:pt idx="57">
                  <c:v>44586</c:v>
                </c:pt>
                <c:pt idx="58">
                  <c:v>44587</c:v>
                </c:pt>
                <c:pt idx="59">
                  <c:v>44588</c:v>
                </c:pt>
                <c:pt idx="60">
                  <c:v>44589</c:v>
                </c:pt>
                <c:pt idx="61">
                  <c:v>44592</c:v>
                </c:pt>
                <c:pt idx="62">
                  <c:v>44593</c:v>
                </c:pt>
                <c:pt idx="63">
                  <c:v>44594</c:v>
                </c:pt>
                <c:pt idx="64">
                  <c:v>44595</c:v>
                </c:pt>
                <c:pt idx="65">
                  <c:v>44596</c:v>
                </c:pt>
                <c:pt idx="66">
                  <c:v>44599</c:v>
                </c:pt>
                <c:pt idx="67">
                  <c:v>44600</c:v>
                </c:pt>
                <c:pt idx="68">
                  <c:v>44601</c:v>
                </c:pt>
                <c:pt idx="69">
                  <c:v>44602</c:v>
                </c:pt>
                <c:pt idx="70">
                  <c:v>44603</c:v>
                </c:pt>
                <c:pt idx="71">
                  <c:v>44606</c:v>
                </c:pt>
                <c:pt idx="72">
                  <c:v>44607</c:v>
                </c:pt>
                <c:pt idx="73">
                  <c:v>44608</c:v>
                </c:pt>
                <c:pt idx="74">
                  <c:v>44609</c:v>
                </c:pt>
                <c:pt idx="75">
                  <c:v>44610</c:v>
                </c:pt>
                <c:pt idx="76">
                  <c:v>44614</c:v>
                </c:pt>
                <c:pt idx="77">
                  <c:v>44615</c:v>
                </c:pt>
                <c:pt idx="78">
                  <c:v>44616</c:v>
                </c:pt>
                <c:pt idx="79">
                  <c:v>44617</c:v>
                </c:pt>
                <c:pt idx="80">
                  <c:v>44620</c:v>
                </c:pt>
                <c:pt idx="81">
                  <c:v>44621</c:v>
                </c:pt>
                <c:pt idx="82">
                  <c:v>44622</c:v>
                </c:pt>
                <c:pt idx="83">
                  <c:v>44623</c:v>
                </c:pt>
                <c:pt idx="84">
                  <c:v>44624</c:v>
                </c:pt>
                <c:pt idx="85">
                  <c:v>44627</c:v>
                </c:pt>
                <c:pt idx="86">
                  <c:v>44628</c:v>
                </c:pt>
                <c:pt idx="87">
                  <c:v>44629</c:v>
                </c:pt>
                <c:pt idx="88">
                  <c:v>44630</c:v>
                </c:pt>
                <c:pt idx="89">
                  <c:v>44631</c:v>
                </c:pt>
                <c:pt idx="90">
                  <c:v>44634</c:v>
                </c:pt>
                <c:pt idx="91">
                  <c:v>44635</c:v>
                </c:pt>
                <c:pt idx="92">
                  <c:v>44636</c:v>
                </c:pt>
                <c:pt idx="93">
                  <c:v>44637</c:v>
                </c:pt>
                <c:pt idx="94">
                  <c:v>44638</c:v>
                </c:pt>
                <c:pt idx="95">
                  <c:v>44641</c:v>
                </c:pt>
                <c:pt idx="96">
                  <c:v>44642</c:v>
                </c:pt>
                <c:pt idx="97">
                  <c:v>44643</c:v>
                </c:pt>
                <c:pt idx="98">
                  <c:v>44644</c:v>
                </c:pt>
                <c:pt idx="99">
                  <c:v>44645</c:v>
                </c:pt>
                <c:pt idx="100">
                  <c:v>44648</c:v>
                </c:pt>
                <c:pt idx="101">
                  <c:v>44649</c:v>
                </c:pt>
                <c:pt idx="102">
                  <c:v>44650</c:v>
                </c:pt>
                <c:pt idx="103">
                  <c:v>44651</c:v>
                </c:pt>
                <c:pt idx="104">
                  <c:v>44652</c:v>
                </c:pt>
                <c:pt idx="105">
                  <c:v>44655</c:v>
                </c:pt>
                <c:pt idx="106">
                  <c:v>44656</c:v>
                </c:pt>
                <c:pt idx="107">
                  <c:v>44657</c:v>
                </c:pt>
                <c:pt idx="108">
                  <c:v>44658</c:v>
                </c:pt>
                <c:pt idx="109">
                  <c:v>44659</c:v>
                </c:pt>
                <c:pt idx="110">
                  <c:v>44662</c:v>
                </c:pt>
                <c:pt idx="111">
                  <c:v>44663</c:v>
                </c:pt>
                <c:pt idx="112">
                  <c:v>44664</c:v>
                </c:pt>
                <c:pt idx="113">
                  <c:v>44665</c:v>
                </c:pt>
                <c:pt idx="114">
                  <c:v>44669</c:v>
                </c:pt>
                <c:pt idx="115">
                  <c:v>44670</c:v>
                </c:pt>
                <c:pt idx="116">
                  <c:v>44671</c:v>
                </c:pt>
                <c:pt idx="117">
                  <c:v>44672</c:v>
                </c:pt>
                <c:pt idx="118">
                  <c:v>44673</c:v>
                </c:pt>
                <c:pt idx="119">
                  <c:v>44676</c:v>
                </c:pt>
                <c:pt idx="120">
                  <c:v>44677</c:v>
                </c:pt>
                <c:pt idx="121">
                  <c:v>44678</c:v>
                </c:pt>
                <c:pt idx="122">
                  <c:v>44679</c:v>
                </c:pt>
              </c:numCache>
            </c:numRef>
          </c:cat>
          <c:val>
            <c:numRef>
              <c:f>'First three graphs'!$C$2:$C$124</c:f>
              <c:numCache>
                <c:formatCode>General</c:formatCode>
                <c:ptCount val="123"/>
                <c:pt idx="0">
                  <c:v>1.7621518335825613E-2</c:v>
                </c:pt>
                <c:pt idx="1">
                  <c:v>-1.5986449205954489E-2</c:v>
                </c:pt>
                <c:pt idx="2">
                  <c:v>-6.1099616385859633E-3</c:v>
                </c:pt>
                <c:pt idx="3">
                  <c:v>-8.9521037126292467E-3</c:v>
                </c:pt>
                <c:pt idx="4">
                  <c:v>-1.6465083652191431E-2</c:v>
                </c:pt>
                <c:pt idx="5">
                  <c:v>1.6944188337811198E-2</c:v>
                </c:pt>
                <c:pt idx="6">
                  <c:v>3.5439297549688239E-3</c:v>
                </c:pt>
                <c:pt idx="7">
                  <c:v>-2.2327352808252345E-2</c:v>
                </c:pt>
                <c:pt idx="8">
                  <c:v>4.3547953750583922E-2</c:v>
                </c:pt>
                <c:pt idx="9">
                  <c:v>1.1612013956734165E-2</c:v>
                </c:pt>
                <c:pt idx="10">
                  <c:v>1.6335043002841616E-2</c:v>
                </c:pt>
                <c:pt idx="11">
                  <c:v>-2.1258076388985445E-2</c:v>
                </c:pt>
                <c:pt idx="12">
                  <c:v>1.2482662968099861E-2</c:v>
                </c:pt>
                <c:pt idx="13">
                  <c:v>-2.6246539726027442E-2</c:v>
                </c:pt>
                <c:pt idx="14">
                  <c:v>2.7319767162351662E-2</c:v>
                </c:pt>
                <c:pt idx="15">
                  <c:v>-3.144088637689469E-2</c:v>
                </c:pt>
                <c:pt idx="16">
                  <c:v>-1.0264400004485743E-2</c:v>
                </c:pt>
                <c:pt idx="17">
                  <c:v>-4.3711760701759007E-3</c:v>
                </c:pt>
                <c:pt idx="18">
                  <c:v>-2.0230101874662124E-2</c:v>
                </c:pt>
                <c:pt idx="19">
                  <c:v>1.6898983617039721E-2</c:v>
                </c:pt>
                <c:pt idx="20">
                  <c:v>-5.6017918562717796E-2</c:v>
                </c:pt>
                <c:pt idx="21">
                  <c:v>-3.8778440359457024E-2</c:v>
                </c:pt>
                <c:pt idx="22">
                  <c:v>1.1077673807116644E-2</c:v>
                </c:pt>
                <c:pt idx="23">
                  <c:v>-3.6227816518960412E-2</c:v>
                </c:pt>
                <c:pt idx="24">
                  <c:v>2.0521335504885435E-3</c:v>
                </c:pt>
                <c:pt idx="25">
                  <c:v>5.9161920827586485E-2</c:v>
                </c:pt>
                <c:pt idx="26">
                  <c:v>1.4516806889232053E-2</c:v>
                </c:pt>
                <c:pt idx="27">
                  <c:v>-5.1972389593250255E-2</c:v>
                </c:pt>
                <c:pt idx="28">
                  <c:v>-1.3689479008081571E-2</c:v>
                </c:pt>
                <c:pt idx="29">
                  <c:v>-1.7535290918959417E-2</c:v>
                </c:pt>
                <c:pt idx="30">
                  <c:v>-1.7683751342283501E-2</c:v>
                </c:pt>
                <c:pt idx="31">
                  <c:v>2.4136816257599097E-2</c:v>
                </c:pt>
                <c:pt idx="32">
                  <c:v>-6.0458268412438704E-2</c:v>
                </c:pt>
                <c:pt idx="33">
                  <c:v>6.3408250229622602E-3</c:v>
                </c:pt>
                <c:pt idx="34">
                  <c:v>-0.10555658773294266</c:v>
                </c:pt>
                <c:pt idx="35">
                  <c:v>8.8016807246679526E-2</c:v>
                </c:pt>
                <c:pt idx="36">
                  <c:v>1.0352201842357894E-2</c:v>
                </c:pt>
                <c:pt idx="37">
                  <c:v>-2.5351254344874135E-3</c:v>
                </c:pt>
                <c:pt idx="38">
                  <c:v>8.1541774387109064E-3</c:v>
                </c:pt>
                <c:pt idx="39">
                  <c:v>-2.3739491798190061E-2</c:v>
                </c:pt>
                <c:pt idx="40">
                  <c:v>-2.7974965225503988E-3</c:v>
                </c:pt>
                <c:pt idx="41">
                  <c:v>1.5501355418241301E-2</c:v>
                </c:pt>
                <c:pt idx="42">
                  <c:v>-6.3042286600837969E-3</c:v>
                </c:pt>
                <c:pt idx="43">
                  <c:v>6.7006627689895583E-3</c:v>
                </c:pt>
                <c:pt idx="44">
                  <c:v>-3.3103223943215861E-2</c:v>
                </c:pt>
                <c:pt idx="45">
                  <c:v>-8.5280144592893195E-2</c:v>
                </c:pt>
                <c:pt idx="46">
                  <c:v>-6.2847484591069518E-3</c:v>
                </c:pt>
                <c:pt idx="47">
                  <c:v>2.6989968840839735E-3</c:v>
                </c:pt>
                <c:pt idx="48">
                  <c:v>2.6354894920173681E-2</c:v>
                </c:pt>
                <c:pt idx="49">
                  <c:v>2.1998649461781577E-2</c:v>
                </c:pt>
                <c:pt idx="50">
                  <c:v>-2.6813359788773947E-4</c:v>
                </c:pt>
                <c:pt idx="51">
                  <c:v>-2.2603479613202537E-3</c:v>
                </c:pt>
                <c:pt idx="52">
                  <c:v>-2.5342668576579873E-2</c:v>
                </c:pt>
                <c:pt idx="53">
                  <c:v>-5.9212854593918347E-2</c:v>
                </c:pt>
                <c:pt idx="54">
                  <c:v>-2.8098856430918848E-2</c:v>
                </c:pt>
                <c:pt idx="55">
                  <c:v>-3.3176311485653589E-3</c:v>
                </c:pt>
                <c:pt idx="56">
                  <c:v>-4.7596440717728304E-2</c:v>
                </c:pt>
                <c:pt idx="57">
                  <c:v>2.5237152423740576E-2</c:v>
                </c:pt>
                <c:pt idx="58">
                  <c:v>-5.8130740207436554E-2</c:v>
                </c:pt>
                <c:pt idx="59">
                  <c:v>6.5337969696861427E-3</c:v>
                </c:pt>
                <c:pt idx="60">
                  <c:v>-2.0127949840565349E-2</c:v>
                </c:pt>
                <c:pt idx="61">
                  <c:v>1.0723476908472317E-2</c:v>
                </c:pt>
                <c:pt idx="62">
                  <c:v>0.12330830922262379</c:v>
                </c:pt>
                <c:pt idx="63">
                  <c:v>1.6833158354323086E-2</c:v>
                </c:pt>
                <c:pt idx="64">
                  <c:v>-1.6224221049815794E-2</c:v>
                </c:pt>
                <c:pt idx="65">
                  <c:v>-2.9794401639180877E-2</c:v>
                </c:pt>
                <c:pt idx="66">
                  <c:v>3.0536323925644374E-2</c:v>
                </c:pt>
                <c:pt idx="67">
                  <c:v>1.1374154523926658E-2</c:v>
                </c:pt>
                <c:pt idx="68">
                  <c:v>3.2120205701455733E-2</c:v>
                </c:pt>
                <c:pt idx="69">
                  <c:v>6.9438315765074948E-2</c:v>
                </c:pt>
                <c:pt idx="70">
                  <c:v>-5.5643692713434412E-3</c:v>
                </c:pt>
                <c:pt idx="71">
                  <c:v>-5.4480166351606754E-2</c:v>
                </c:pt>
                <c:pt idx="72">
                  <c:v>-3.4787277136827861E-3</c:v>
                </c:pt>
                <c:pt idx="73">
                  <c:v>5.1922008458703192E-2</c:v>
                </c:pt>
                <c:pt idx="74">
                  <c:v>1.7393946179524812E-2</c:v>
                </c:pt>
                <c:pt idx="75">
                  <c:v>-1.2972371727008212E-2</c:v>
                </c:pt>
                <c:pt idx="76">
                  <c:v>-2.0322137038587849E-2</c:v>
                </c:pt>
                <c:pt idx="77">
                  <c:v>-4.5907474763949095E-2</c:v>
                </c:pt>
                <c:pt idx="78">
                  <c:v>-4.0476310467207781E-2</c:v>
                </c:pt>
                <c:pt idx="79">
                  <c:v>0.14857482042872033</c:v>
                </c:pt>
                <c:pt idx="80">
                  <c:v>2.4853390428456992E-2</c:v>
                </c:pt>
                <c:pt idx="81">
                  <c:v>0.14928226907845801</c:v>
                </c:pt>
                <c:pt idx="82">
                  <c:v>1.6310787639971701E-2</c:v>
                </c:pt>
                <c:pt idx="83">
                  <c:v>-3.1328016028586085E-2</c:v>
                </c:pt>
                <c:pt idx="84">
                  <c:v>-4.0195841638881263E-2</c:v>
                </c:pt>
                <c:pt idx="85">
                  <c:v>-2.8460658010653301E-2</c:v>
                </c:pt>
                <c:pt idx="86">
                  <c:v>1.5891974986148381E-2</c:v>
                </c:pt>
                <c:pt idx="87">
                  <c:v>0.10413235569510448</c:v>
                </c:pt>
                <c:pt idx="88">
                  <c:v>-5.8678452358658702E-3</c:v>
                </c:pt>
                <c:pt idx="89">
                  <c:v>-3.6240765800206694E-2</c:v>
                </c:pt>
                <c:pt idx="90">
                  <c:v>8.8851837513855333E-3</c:v>
                </c:pt>
                <c:pt idx="91">
                  <c:v>-6.1082576125493136E-2</c:v>
                </c:pt>
                <c:pt idx="92">
                  <c:v>5.7753473660732434E-2</c:v>
                </c:pt>
                <c:pt idx="93">
                  <c:v>5.8305634204275585E-2</c:v>
                </c:pt>
                <c:pt idx="94">
                  <c:v>-5.8534826926803625E-2</c:v>
                </c:pt>
                <c:pt idx="95">
                  <c:v>-6.6433438020976551E-3</c:v>
                </c:pt>
                <c:pt idx="96">
                  <c:v>-1.3760295230223363E-3</c:v>
                </c:pt>
                <c:pt idx="97">
                  <c:v>4.1752110172960169E-2</c:v>
                </c:pt>
                <c:pt idx="98">
                  <c:v>6.6439177498655265E-3</c:v>
                </c:pt>
                <c:pt idx="99">
                  <c:v>3.1991937396984992E-2</c:v>
                </c:pt>
                <c:pt idx="100">
                  <c:v>-7.3133211142689027E-3</c:v>
                </c:pt>
                <c:pt idx="101">
                  <c:v>-6.5618220305427759E-3</c:v>
                </c:pt>
                <c:pt idx="102">
                  <c:v>-2.57303474341356E-2</c:v>
                </c:pt>
                <c:pt idx="103">
                  <c:v>-3.1648656394453037E-2</c:v>
                </c:pt>
                <c:pt idx="104">
                  <c:v>2.5904540352767347E-2</c:v>
                </c:pt>
                <c:pt idx="105">
                  <c:v>1.4269069923830836E-3</c:v>
                </c:pt>
                <c:pt idx="106">
                  <c:v>3.8658152905727404E-2</c:v>
                </c:pt>
                <c:pt idx="107">
                  <c:v>-1.9742912646463988E-2</c:v>
                </c:pt>
                <c:pt idx="108">
                  <c:v>-2.5951498214417786E-2</c:v>
                </c:pt>
                <c:pt idx="109">
                  <c:v>-1.6335616362623453E-2</c:v>
                </c:pt>
                <c:pt idx="110">
                  <c:v>-4.2390392457793011E-2</c:v>
                </c:pt>
                <c:pt idx="111">
                  <c:v>-5.1395585476964739E-3</c:v>
                </c:pt>
                <c:pt idx="112">
                  <c:v>4.7329033921039345E-3</c:v>
                </c:pt>
                <c:pt idx="113">
                  <c:v>2.1728272480546408E-2</c:v>
                </c:pt>
                <c:pt idx="114">
                  <c:v>-2.3831155844155797E-2</c:v>
                </c:pt>
                <c:pt idx="115">
                  <c:v>5.3548359561652725E-3</c:v>
                </c:pt>
                <c:pt idx="116">
                  <c:v>8.4362261977650906E-3</c:v>
                </c:pt>
                <c:pt idx="117">
                  <c:v>-7.6143368109036172E-2</c:v>
                </c:pt>
                <c:pt idx="118">
                  <c:v>-9.7510715040874718E-2</c:v>
                </c:pt>
                <c:pt idx="119">
                  <c:v>-1.0112107262139007E-2</c:v>
                </c:pt>
                <c:pt idx="120">
                  <c:v>7.5920303077189298E-3</c:v>
                </c:pt>
                <c:pt idx="121">
                  <c:v>-3.4439267141913518E-2</c:v>
                </c:pt>
                <c:pt idx="122">
                  <c:v>1.9284201243753074E-2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2E-4BE6-971A-27B3CD3DB13A}"/>
            </c:ext>
          </c:extLst>
        </c:ser>
        <c:ser>
          <c:idx val="2"/>
          <c:order val="2"/>
          <c:tx>
            <c:strRef>
              <c:f>'First three graphs'!$D$1</c:f>
              <c:strCache>
                <c:ptCount val="1"/>
                <c:pt idx="0">
                  <c:v>Portfolio Returns</c:v>
                </c:pt>
              </c:strCache>
            </c:strRef>
          </c:tx>
          <c:spPr>
            <a:ln w="22225" cap="rnd">
              <a:solidFill>
                <a:srgbClr val="00B050">
                  <a:alpha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'First three graphs'!$A$2:$A$124</c:f>
              <c:numCache>
                <c:formatCode>m/d/yyyy</c:formatCode>
                <c:ptCount val="123"/>
                <c:pt idx="0">
                  <c:v>44502</c:v>
                </c:pt>
                <c:pt idx="1">
                  <c:v>44503</c:v>
                </c:pt>
                <c:pt idx="2">
                  <c:v>44504</c:v>
                </c:pt>
                <c:pt idx="3">
                  <c:v>44505</c:v>
                </c:pt>
                <c:pt idx="4">
                  <c:v>44508</c:v>
                </c:pt>
                <c:pt idx="5">
                  <c:v>44509</c:v>
                </c:pt>
                <c:pt idx="6">
                  <c:v>44510</c:v>
                </c:pt>
                <c:pt idx="7">
                  <c:v>44511</c:v>
                </c:pt>
                <c:pt idx="8">
                  <c:v>44512</c:v>
                </c:pt>
                <c:pt idx="9">
                  <c:v>44515</c:v>
                </c:pt>
                <c:pt idx="10">
                  <c:v>44516</c:v>
                </c:pt>
                <c:pt idx="11">
                  <c:v>44517</c:v>
                </c:pt>
                <c:pt idx="12">
                  <c:v>44518</c:v>
                </c:pt>
                <c:pt idx="13">
                  <c:v>44519</c:v>
                </c:pt>
                <c:pt idx="14">
                  <c:v>44522</c:v>
                </c:pt>
                <c:pt idx="15">
                  <c:v>44523</c:v>
                </c:pt>
                <c:pt idx="16">
                  <c:v>44524</c:v>
                </c:pt>
                <c:pt idx="17">
                  <c:v>44526</c:v>
                </c:pt>
                <c:pt idx="18">
                  <c:v>44529</c:v>
                </c:pt>
                <c:pt idx="19">
                  <c:v>44530</c:v>
                </c:pt>
                <c:pt idx="20">
                  <c:v>44531</c:v>
                </c:pt>
                <c:pt idx="21">
                  <c:v>44532</c:v>
                </c:pt>
                <c:pt idx="22">
                  <c:v>44533</c:v>
                </c:pt>
                <c:pt idx="23">
                  <c:v>44536</c:v>
                </c:pt>
                <c:pt idx="24">
                  <c:v>44537</c:v>
                </c:pt>
                <c:pt idx="25">
                  <c:v>44538</c:v>
                </c:pt>
                <c:pt idx="26">
                  <c:v>44539</c:v>
                </c:pt>
                <c:pt idx="27">
                  <c:v>44540</c:v>
                </c:pt>
                <c:pt idx="28">
                  <c:v>44543</c:v>
                </c:pt>
                <c:pt idx="29">
                  <c:v>44544</c:v>
                </c:pt>
                <c:pt idx="30">
                  <c:v>44545</c:v>
                </c:pt>
                <c:pt idx="31">
                  <c:v>44546</c:v>
                </c:pt>
                <c:pt idx="32">
                  <c:v>44547</c:v>
                </c:pt>
                <c:pt idx="33">
                  <c:v>44550</c:v>
                </c:pt>
                <c:pt idx="34">
                  <c:v>44551</c:v>
                </c:pt>
                <c:pt idx="35">
                  <c:v>44552</c:v>
                </c:pt>
                <c:pt idx="36">
                  <c:v>44553</c:v>
                </c:pt>
                <c:pt idx="37">
                  <c:v>44557</c:v>
                </c:pt>
                <c:pt idx="38">
                  <c:v>44558</c:v>
                </c:pt>
                <c:pt idx="39">
                  <c:v>44559</c:v>
                </c:pt>
                <c:pt idx="40">
                  <c:v>44560</c:v>
                </c:pt>
                <c:pt idx="41">
                  <c:v>44561</c:v>
                </c:pt>
                <c:pt idx="42">
                  <c:v>44564</c:v>
                </c:pt>
                <c:pt idx="43">
                  <c:v>44565</c:v>
                </c:pt>
                <c:pt idx="44">
                  <c:v>44566</c:v>
                </c:pt>
                <c:pt idx="45">
                  <c:v>44567</c:v>
                </c:pt>
                <c:pt idx="46">
                  <c:v>44568</c:v>
                </c:pt>
                <c:pt idx="47">
                  <c:v>44571</c:v>
                </c:pt>
                <c:pt idx="48">
                  <c:v>44572</c:v>
                </c:pt>
                <c:pt idx="49">
                  <c:v>44573</c:v>
                </c:pt>
                <c:pt idx="50">
                  <c:v>44574</c:v>
                </c:pt>
                <c:pt idx="51">
                  <c:v>44575</c:v>
                </c:pt>
                <c:pt idx="52">
                  <c:v>44579</c:v>
                </c:pt>
                <c:pt idx="53">
                  <c:v>44580</c:v>
                </c:pt>
                <c:pt idx="54">
                  <c:v>44581</c:v>
                </c:pt>
                <c:pt idx="55">
                  <c:v>44582</c:v>
                </c:pt>
                <c:pt idx="56">
                  <c:v>44585</c:v>
                </c:pt>
                <c:pt idx="57">
                  <c:v>44586</c:v>
                </c:pt>
                <c:pt idx="58">
                  <c:v>44587</c:v>
                </c:pt>
                <c:pt idx="59">
                  <c:v>44588</c:v>
                </c:pt>
                <c:pt idx="60">
                  <c:v>44589</c:v>
                </c:pt>
                <c:pt idx="61">
                  <c:v>44592</c:v>
                </c:pt>
                <c:pt idx="62">
                  <c:v>44593</c:v>
                </c:pt>
                <c:pt idx="63">
                  <c:v>44594</c:v>
                </c:pt>
                <c:pt idx="64">
                  <c:v>44595</c:v>
                </c:pt>
                <c:pt idx="65">
                  <c:v>44596</c:v>
                </c:pt>
                <c:pt idx="66">
                  <c:v>44599</c:v>
                </c:pt>
                <c:pt idx="67">
                  <c:v>44600</c:v>
                </c:pt>
                <c:pt idx="68">
                  <c:v>44601</c:v>
                </c:pt>
                <c:pt idx="69">
                  <c:v>44602</c:v>
                </c:pt>
                <c:pt idx="70">
                  <c:v>44603</c:v>
                </c:pt>
                <c:pt idx="71">
                  <c:v>44606</c:v>
                </c:pt>
                <c:pt idx="72">
                  <c:v>44607</c:v>
                </c:pt>
                <c:pt idx="73">
                  <c:v>44608</c:v>
                </c:pt>
                <c:pt idx="74">
                  <c:v>44609</c:v>
                </c:pt>
                <c:pt idx="75">
                  <c:v>44610</c:v>
                </c:pt>
                <c:pt idx="76">
                  <c:v>44614</c:v>
                </c:pt>
                <c:pt idx="77">
                  <c:v>44615</c:v>
                </c:pt>
                <c:pt idx="78">
                  <c:v>44616</c:v>
                </c:pt>
                <c:pt idx="79">
                  <c:v>44617</c:v>
                </c:pt>
                <c:pt idx="80">
                  <c:v>44620</c:v>
                </c:pt>
                <c:pt idx="81">
                  <c:v>44621</c:v>
                </c:pt>
                <c:pt idx="82">
                  <c:v>44622</c:v>
                </c:pt>
                <c:pt idx="83">
                  <c:v>44623</c:v>
                </c:pt>
                <c:pt idx="84">
                  <c:v>44624</c:v>
                </c:pt>
                <c:pt idx="85">
                  <c:v>44627</c:v>
                </c:pt>
                <c:pt idx="86">
                  <c:v>44628</c:v>
                </c:pt>
                <c:pt idx="87">
                  <c:v>44629</c:v>
                </c:pt>
                <c:pt idx="88">
                  <c:v>44630</c:v>
                </c:pt>
                <c:pt idx="89">
                  <c:v>44631</c:v>
                </c:pt>
                <c:pt idx="90">
                  <c:v>44634</c:v>
                </c:pt>
                <c:pt idx="91">
                  <c:v>44635</c:v>
                </c:pt>
                <c:pt idx="92">
                  <c:v>44636</c:v>
                </c:pt>
                <c:pt idx="93">
                  <c:v>44637</c:v>
                </c:pt>
                <c:pt idx="94">
                  <c:v>44638</c:v>
                </c:pt>
                <c:pt idx="95">
                  <c:v>44641</c:v>
                </c:pt>
                <c:pt idx="96">
                  <c:v>44642</c:v>
                </c:pt>
                <c:pt idx="97">
                  <c:v>44643</c:v>
                </c:pt>
                <c:pt idx="98">
                  <c:v>44644</c:v>
                </c:pt>
                <c:pt idx="99">
                  <c:v>44645</c:v>
                </c:pt>
                <c:pt idx="100">
                  <c:v>44648</c:v>
                </c:pt>
                <c:pt idx="101">
                  <c:v>44649</c:v>
                </c:pt>
                <c:pt idx="102">
                  <c:v>44650</c:v>
                </c:pt>
                <c:pt idx="103">
                  <c:v>44651</c:v>
                </c:pt>
                <c:pt idx="104">
                  <c:v>44652</c:v>
                </c:pt>
                <c:pt idx="105">
                  <c:v>44655</c:v>
                </c:pt>
                <c:pt idx="106">
                  <c:v>44656</c:v>
                </c:pt>
                <c:pt idx="107">
                  <c:v>44657</c:v>
                </c:pt>
                <c:pt idx="108">
                  <c:v>44658</c:v>
                </c:pt>
                <c:pt idx="109">
                  <c:v>44659</c:v>
                </c:pt>
                <c:pt idx="110">
                  <c:v>44662</c:v>
                </c:pt>
                <c:pt idx="111">
                  <c:v>44663</c:v>
                </c:pt>
                <c:pt idx="112">
                  <c:v>44664</c:v>
                </c:pt>
                <c:pt idx="113">
                  <c:v>44665</c:v>
                </c:pt>
                <c:pt idx="114">
                  <c:v>44669</c:v>
                </c:pt>
                <c:pt idx="115">
                  <c:v>44670</c:v>
                </c:pt>
                <c:pt idx="116">
                  <c:v>44671</c:v>
                </c:pt>
                <c:pt idx="117">
                  <c:v>44672</c:v>
                </c:pt>
                <c:pt idx="118">
                  <c:v>44673</c:v>
                </c:pt>
                <c:pt idx="119">
                  <c:v>44676</c:v>
                </c:pt>
                <c:pt idx="120">
                  <c:v>44677</c:v>
                </c:pt>
                <c:pt idx="121">
                  <c:v>44678</c:v>
                </c:pt>
                <c:pt idx="122">
                  <c:v>44679</c:v>
                </c:pt>
              </c:numCache>
            </c:numRef>
          </c:cat>
          <c:val>
            <c:numRef>
              <c:f>'First three graphs'!$D$2:$D$124</c:f>
              <c:numCache>
                <c:formatCode>General</c:formatCode>
                <c:ptCount val="123"/>
                <c:pt idx="0">
                  <c:v>2.586380460561416E-2</c:v>
                </c:pt>
                <c:pt idx="1">
                  <c:v>-1.1969048676485135E-2</c:v>
                </c:pt>
                <c:pt idx="2">
                  <c:v>-5.211684862948489E-3</c:v>
                </c:pt>
                <c:pt idx="3">
                  <c:v>8.4698243396225965E-3</c:v>
                </c:pt>
                <c:pt idx="4">
                  <c:v>-1.7962936725814865E-2</c:v>
                </c:pt>
                <c:pt idx="5">
                  <c:v>1.6271856609071E-2</c:v>
                </c:pt>
                <c:pt idx="6">
                  <c:v>-3.0208314872953303E-3</c:v>
                </c:pt>
                <c:pt idx="7">
                  <c:v>-2.7799965101398167E-2</c:v>
                </c:pt>
                <c:pt idx="8">
                  <c:v>6.3144087648908567E-2</c:v>
                </c:pt>
                <c:pt idx="9">
                  <c:v>7.9404316424635021E-3</c:v>
                </c:pt>
                <c:pt idx="10">
                  <c:v>-6.2335656807961963E-3</c:v>
                </c:pt>
                <c:pt idx="11">
                  <c:v>3.6403140346339827E-3</c:v>
                </c:pt>
                <c:pt idx="12">
                  <c:v>1.2748548651273617E-2</c:v>
                </c:pt>
                <c:pt idx="13">
                  <c:v>-1.3454956919721404E-2</c:v>
                </c:pt>
                <c:pt idx="14">
                  <c:v>4.02826665041379E-2</c:v>
                </c:pt>
                <c:pt idx="15">
                  <c:v>-2.7888916937531448E-2</c:v>
                </c:pt>
                <c:pt idx="16">
                  <c:v>-2.639957685553217E-2</c:v>
                </c:pt>
                <c:pt idx="17">
                  <c:v>7.5159949092909861E-3</c:v>
                </c:pt>
                <c:pt idx="18">
                  <c:v>-2.544943898671163E-2</c:v>
                </c:pt>
                <c:pt idx="19">
                  <c:v>2.7759548339292679E-2</c:v>
                </c:pt>
                <c:pt idx="20">
                  <c:v>-4.0152400619770288E-2</c:v>
                </c:pt>
                <c:pt idx="21">
                  <c:v>-4.6203056438514127E-2</c:v>
                </c:pt>
                <c:pt idx="22">
                  <c:v>9.4715343243157802E-4</c:v>
                </c:pt>
                <c:pt idx="23">
                  <c:v>-5.7414860847495246E-2</c:v>
                </c:pt>
                <c:pt idx="24">
                  <c:v>-8.9766335876072783E-3</c:v>
                </c:pt>
                <c:pt idx="25">
                  <c:v>5.1966094857393674E-2</c:v>
                </c:pt>
                <c:pt idx="26">
                  <c:v>1.4101375792586166E-2</c:v>
                </c:pt>
                <c:pt idx="27">
                  <c:v>-4.6387875946681888E-2</c:v>
                </c:pt>
                <c:pt idx="28">
                  <c:v>-9.8137436413665742E-3</c:v>
                </c:pt>
                <c:pt idx="29">
                  <c:v>-1.2088983793454813E-2</c:v>
                </c:pt>
                <c:pt idx="30">
                  <c:v>-3.5710692913156802E-2</c:v>
                </c:pt>
                <c:pt idx="31">
                  <c:v>1.6171227236389793E-2</c:v>
                </c:pt>
                <c:pt idx="32">
                  <c:v>-6.2574679785117493E-2</c:v>
                </c:pt>
                <c:pt idx="33">
                  <c:v>-1.4576194594154016E-3</c:v>
                </c:pt>
                <c:pt idx="34">
                  <c:v>-8.0191035009376049E-2</c:v>
                </c:pt>
                <c:pt idx="35">
                  <c:v>7.229904346228401E-2</c:v>
                </c:pt>
                <c:pt idx="36">
                  <c:v>5.9864926477502418E-3</c:v>
                </c:pt>
                <c:pt idx="37">
                  <c:v>-4.3494655295848268E-3</c:v>
                </c:pt>
                <c:pt idx="38">
                  <c:v>5.435987030426517E-3</c:v>
                </c:pt>
                <c:pt idx="39">
                  <c:v>-1.6864881532742335E-2</c:v>
                </c:pt>
                <c:pt idx="40">
                  <c:v>-4.9593142362504379E-3</c:v>
                </c:pt>
                <c:pt idx="41">
                  <c:v>1.0229487514488303E-2</c:v>
                </c:pt>
                <c:pt idx="42">
                  <c:v>-1.2493031753194708E-2</c:v>
                </c:pt>
                <c:pt idx="43">
                  <c:v>7.4767362475295701E-3</c:v>
                </c:pt>
                <c:pt idx="44">
                  <c:v>-3.3277002443824928E-2</c:v>
                </c:pt>
                <c:pt idx="45">
                  <c:v>-0.10175720048561838</c:v>
                </c:pt>
                <c:pt idx="46">
                  <c:v>-2.1025299650614952E-2</c:v>
                </c:pt>
                <c:pt idx="47">
                  <c:v>-1.8884896848166598E-2</c:v>
                </c:pt>
                <c:pt idx="48">
                  <c:v>2.0423875596291181E-2</c:v>
                </c:pt>
                <c:pt idx="49">
                  <c:v>1.6085102781266489E-2</c:v>
                </c:pt>
                <c:pt idx="50">
                  <c:v>2.270346824738775E-3</c:v>
                </c:pt>
                <c:pt idx="51">
                  <c:v>-1.9313285670492147E-2</c:v>
                </c:pt>
                <c:pt idx="52">
                  <c:v>-1.5818715489512945E-2</c:v>
                </c:pt>
                <c:pt idx="53">
                  <c:v>-5.4229298727195521E-2</c:v>
                </c:pt>
                <c:pt idx="54">
                  <c:v>-1.9604735933508463E-2</c:v>
                </c:pt>
                <c:pt idx="55">
                  <c:v>-1.3728961380352518E-3</c:v>
                </c:pt>
                <c:pt idx="56">
                  <c:v>-5.550258322981081E-2</c:v>
                </c:pt>
                <c:pt idx="57">
                  <c:v>2.1160131964831873E-2</c:v>
                </c:pt>
                <c:pt idx="58">
                  <c:v>-5.0886605651342946E-2</c:v>
                </c:pt>
                <c:pt idx="59">
                  <c:v>2.967287434187107E-5</c:v>
                </c:pt>
                <c:pt idx="60">
                  <c:v>-1.7564490244890967E-2</c:v>
                </c:pt>
                <c:pt idx="61">
                  <c:v>2.0853976708144734E-2</c:v>
                </c:pt>
                <c:pt idx="62">
                  <c:v>0.12840456185116231</c:v>
                </c:pt>
                <c:pt idx="63">
                  <c:v>1.6277305495129565E-2</c:v>
                </c:pt>
                <c:pt idx="64">
                  <c:v>-1.9033787743428621E-2</c:v>
                </c:pt>
                <c:pt idx="65">
                  <c:v>-3.8073209253625818E-2</c:v>
                </c:pt>
                <c:pt idx="66">
                  <c:v>4.5546611604037432E-2</c:v>
                </c:pt>
                <c:pt idx="67">
                  <c:v>4.4127130548531927E-3</c:v>
                </c:pt>
                <c:pt idx="68">
                  <c:v>2.9465190330752618E-2</c:v>
                </c:pt>
                <c:pt idx="69">
                  <c:v>9.3405655445139221E-2</c:v>
                </c:pt>
                <c:pt idx="70">
                  <c:v>-2.4483672571814587E-2</c:v>
                </c:pt>
                <c:pt idx="71">
                  <c:v>-5.6084387582478683E-2</c:v>
                </c:pt>
                <c:pt idx="72">
                  <c:v>-7.5341633156404643E-3</c:v>
                </c:pt>
                <c:pt idx="73">
                  <c:v>6.1335061557504698E-2</c:v>
                </c:pt>
                <c:pt idx="74">
                  <c:v>8.3502528467736467E-3</c:v>
                </c:pt>
                <c:pt idx="75">
                  <c:v>-2.4129254797645775E-2</c:v>
                </c:pt>
                <c:pt idx="76">
                  <c:v>-3.5947635571012305E-2</c:v>
                </c:pt>
                <c:pt idx="77">
                  <c:v>-4.8747312394792061E-2</c:v>
                </c:pt>
                <c:pt idx="78">
                  <c:v>-4.4171663991948225E-2</c:v>
                </c:pt>
                <c:pt idx="79">
                  <c:v>0.15564993384989551</c:v>
                </c:pt>
                <c:pt idx="80">
                  <c:v>3.3230020107308689E-2</c:v>
                </c:pt>
                <c:pt idx="81">
                  <c:v>0.11951479198582809</c:v>
                </c:pt>
                <c:pt idx="82">
                  <c:v>1.9457581602630884E-2</c:v>
                </c:pt>
                <c:pt idx="83">
                  <c:v>-3.489683000430379E-2</c:v>
                </c:pt>
                <c:pt idx="84">
                  <c:v>-3.5516953387190547E-2</c:v>
                </c:pt>
                <c:pt idx="85">
                  <c:v>-1.8222815932482393E-2</c:v>
                </c:pt>
                <c:pt idx="86">
                  <c:v>1.0591483044898421E-2</c:v>
                </c:pt>
                <c:pt idx="87">
                  <c:v>0.10595135555199671</c:v>
                </c:pt>
                <c:pt idx="88">
                  <c:v>6.7032703478657986E-3</c:v>
                </c:pt>
                <c:pt idx="89">
                  <c:v>-2.2594361741803921E-2</c:v>
                </c:pt>
                <c:pt idx="90">
                  <c:v>-1.5139380472384292E-2</c:v>
                </c:pt>
                <c:pt idx="91">
                  <c:v>-6.8953220484446145E-2</c:v>
                </c:pt>
                <c:pt idx="92">
                  <c:v>5.178542525768292E-2</c:v>
                </c:pt>
                <c:pt idx="93">
                  <c:v>6.631588034639356E-2</c:v>
                </c:pt>
                <c:pt idx="94">
                  <c:v>-2.3098379022172207E-2</c:v>
                </c:pt>
                <c:pt idx="95">
                  <c:v>5.967018147725444E-3</c:v>
                </c:pt>
                <c:pt idx="96">
                  <c:v>1.6704630659191944E-3</c:v>
                </c:pt>
                <c:pt idx="97">
                  <c:v>3.1622806871881952E-2</c:v>
                </c:pt>
                <c:pt idx="98">
                  <c:v>5.8536187003610362E-3</c:v>
                </c:pt>
                <c:pt idx="99">
                  <c:v>3.5867580104988459E-2</c:v>
                </c:pt>
                <c:pt idx="100">
                  <c:v>-1.3487047578531504E-2</c:v>
                </c:pt>
                <c:pt idx="101">
                  <c:v>6.6204684699636921E-4</c:v>
                </c:pt>
                <c:pt idx="102">
                  <c:v>3.009906074588758E-3</c:v>
                </c:pt>
                <c:pt idx="103">
                  <c:v>-2.9972460543288868E-2</c:v>
                </c:pt>
                <c:pt idx="104">
                  <c:v>2.5993817685898996E-2</c:v>
                </c:pt>
                <c:pt idx="105">
                  <c:v>1.0696835800220187E-2</c:v>
                </c:pt>
                <c:pt idx="106">
                  <c:v>4.4731007978318138E-2</c:v>
                </c:pt>
                <c:pt idx="107">
                  <c:v>-2.1759720053692286E-2</c:v>
                </c:pt>
                <c:pt idx="108">
                  <c:v>-3.0079957271329352E-2</c:v>
                </c:pt>
                <c:pt idx="109">
                  <c:v>-1.1028442573468714E-3</c:v>
                </c:pt>
                <c:pt idx="110">
                  <c:v>-4.9751408027048777E-2</c:v>
                </c:pt>
                <c:pt idx="111">
                  <c:v>-2.1097697887915649E-2</c:v>
                </c:pt>
                <c:pt idx="112">
                  <c:v>-2.6122762839187225E-3</c:v>
                </c:pt>
                <c:pt idx="113">
                  <c:v>3.0190866554839765E-2</c:v>
                </c:pt>
                <c:pt idx="114">
                  <c:v>-1.9051709752885816E-2</c:v>
                </c:pt>
                <c:pt idx="115">
                  <c:v>1.4771004862815169E-3</c:v>
                </c:pt>
                <c:pt idx="116">
                  <c:v>1.8675089985653506E-2</c:v>
                </c:pt>
                <c:pt idx="117">
                  <c:v>-8.165778364792449E-2</c:v>
                </c:pt>
                <c:pt idx="118">
                  <c:v>-0.11009599461353467</c:v>
                </c:pt>
                <c:pt idx="119">
                  <c:v>-1.4287879366452384E-2</c:v>
                </c:pt>
                <c:pt idx="120">
                  <c:v>1.6410475827087042E-2</c:v>
                </c:pt>
                <c:pt idx="121">
                  <c:v>-2.9309622516147004E-2</c:v>
                </c:pt>
                <c:pt idx="122">
                  <c:v>4.7700623987557408E-2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2E-4BE6-971A-27B3CD3DB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2439912"/>
        <c:axId val="572441880"/>
      </c:lineChart>
      <c:dateAx>
        <c:axId val="572439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441880"/>
        <c:crosses val="autoZero"/>
        <c:auto val="1"/>
        <c:lblOffset val="100"/>
        <c:baseTimeUnit val="days"/>
      </c:dateAx>
      <c:valAx>
        <c:axId val="572441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Daily 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439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Value At Risk Parametric Method, Sigma Flat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54335562219294"/>
          <c:y val="0.10390696834772527"/>
          <c:w val="0.76490644551396714"/>
          <c:h val="0.78490214882287412"/>
        </c:manualLayout>
      </c:layout>
      <c:lineChart>
        <c:grouping val="standard"/>
        <c:varyColors val="0"/>
        <c:ser>
          <c:idx val="0"/>
          <c:order val="0"/>
          <c:tx>
            <c:strRef>
              <c:f>'First three graphs'!$S$3</c:f>
              <c:strCache>
                <c:ptCount val="1"/>
                <c:pt idx="0">
                  <c:v>ENPH 0.95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'First three graphs'!$R$4:$R$103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'First three graphs'!$S$4:$S$103</c:f>
              <c:numCache>
                <c:formatCode>General</c:formatCode>
                <c:ptCount val="100"/>
                <c:pt idx="0">
                  <c:v>44272.968199183175</c:v>
                </c:pt>
                <c:pt idx="1">
                  <c:v>62611.432073797587</c:v>
                </c:pt>
                <c:pt idx="2">
                  <c:v>76683.030322866427</c:v>
                </c:pt>
                <c:pt idx="3">
                  <c:v>88545.93639836635</c:v>
                </c:pt>
                <c:pt idx="4">
                  <c:v>98997.366459060024</c:v>
                </c:pt>
                <c:pt idx="5">
                  <c:v>108446.18148646501</c:v>
                </c:pt>
                <c:pt idx="6">
                  <c:v>117135.26365770982</c:v>
                </c:pt>
                <c:pt idx="7">
                  <c:v>125222.86414759517</c:v>
                </c:pt>
                <c:pt idx="8">
                  <c:v>132818.90459754952</c:v>
                </c:pt>
                <c:pt idx="9">
                  <c:v>140003.41828562206</c:v>
                </c:pt>
                <c:pt idx="10">
                  <c:v>146836.82387202716</c:v>
                </c:pt>
                <c:pt idx="11">
                  <c:v>153366.06064573285</c:v>
                </c:pt>
                <c:pt idx="12">
                  <c:v>159628.45695914151</c:v>
                </c:pt>
                <c:pt idx="13">
                  <c:v>165654.27849688151</c:v>
                </c:pt>
                <c:pt idx="14">
                  <c:v>171468.468522607</c:v>
                </c:pt>
                <c:pt idx="15">
                  <c:v>177091.8727967327</c:v>
                </c:pt>
                <c:pt idx="16">
                  <c:v>182542.12424484393</c:v>
                </c:pt>
                <c:pt idx="17">
                  <c:v>187834.29622139272</c:v>
                </c:pt>
                <c:pt idx="18">
                  <c:v>192981.39431082938</c:v>
                </c:pt>
                <c:pt idx="19">
                  <c:v>197994.73291812005</c:v>
                </c:pt>
                <c:pt idx="20">
                  <c:v>202884.22801312961</c:v>
                </c:pt>
                <c:pt idx="21">
                  <c:v>207658.62777561028</c:v>
                </c:pt>
                <c:pt idx="22">
                  <c:v>212325.6965202642</c:v>
                </c:pt>
                <c:pt idx="23">
                  <c:v>216892.36297293002</c:v>
                </c:pt>
                <c:pt idx="24">
                  <c:v>221364.84099591587</c:v>
                </c:pt>
                <c:pt idx="25">
                  <c:v>225748.7287723078</c:v>
                </c:pt>
                <c:pt idx="26">
                  <c:v>230049.09096859931</c:v>
                </c:pt>
                <c:pt idx="27">
                  <c:v>234270.52731541963</c:v>
                </c:pt>
                <c:pt idx="28">
                  <c:v>238417.23025362627</c:v>
                </c:pt>
                <c:pt idx="29">
                  <c:v>242493.03370401496</c:v>
                </c:pt>
                <c:pt idx="30">
                  <c:v>246501.45457611891</c:v>
                </c:pt>
                <c:pt idx="31">
                  <c:v>250445.72829519035</c:v>
                </c:pt>
                <c:pt idx="32">
                  <c:v>254328.83936839364</c:v>
                </c:pt>
                <c:pt idx="33">
                  <c:v>258153.54781145285</c:v>
                </c:pt>
                <c:pt idx="34">
                  <c:v>261922.41210099982</c:v>
                </c:pt>
                <c:pt idx="35">
                  <c:v>265637.80919509905</c:v>
                </c:pt>
                <c:pt idx="36">
                  <c:v>269301.952067076</c:v>
                </c:pt>
                <c:pt idx="37">
                  <c:v>272916.90512004489</c:v>
                </c:pt>
                <c:pt idx="38">
                  <c:v>276484.5977870549</c:v>
                </c:pt>
                <c:pt idx="39">
                  <c:v>280006.83657124412</c:v>
                </c:pt>
                <c:pt idx="40">
                  <c:v>283485.31573928351</c:v>
                </c:pt>
                <c:pt idx="41">
                  <c:v>286921.62684776331</c:v>
                </c:pt>
                <c:pt idx="42">
                  <c:v>290317.26725452108</c:v>
                </c:pt>
                <c:pt idx="43">
                  <c:v>293673.64774405432</c:v>
                </c:pt>
                <c:pt idx="44">
                  <c:v>296992.09937718004</c:v>
                </c:pt>
                <c:pt idx="45">
                  <c:v>300273.87965927151</c:v>
                </c:pt>
                <c:pt idx="46">
                  <c:v>303520.1781081392</c:v>
                </c:pt>
                <c:pt idx="47">
                  <c:v>306732.12129146571</c:v>
                </c:pt>
                <c:pt idx="48">
                  <c:v>309910.77739428222</c:v>
                </c:pt>
                <c:pt idx="49">
                  <c:v>313057.16036898794</c:v>
                </c:pt>
                <c:pt idx="50">
                  <c:v>316172.23371362023</c:v>
                </c:pt>
                <c:pt idx="51">
                  <c:v>319256.91391828301</c:v>
                </c:pt>
                <c:pt idx="52">
                  <c:v>322312.07361467532</c:v>
                </c:pt>
                <c:pt idx="53">
                  <c:v>325338.54445939505</c:v>
                </c:pt>
                <c:pt idx="54">
                  <c:v>328337.1197780167</c:v>
                </c:pt>
                <c:pt idx="55">
                  <c:v>331308.55699376302</c:v>
                </c:pt>
                <c:pt idx="56">
                  <c:v>334253.57986183994</c:v>
                </c:pt>
                <c:pt idx="57">
                  <c:v>337172.88052810729</c:v>
                </c:pt>
                <c:pt idx="58">
                  <c:v>340067.12142867787</c:v>
                </c:pt>
                <c:pt idx="59">
                  <c:v>342936.937045214</c:v>
                </c:pt>
                <c:pt idx="60">
                  <c:v>345782.93552909599</c:v>
                </c:pt>
                <c:pt idx="61">
                  <c:v>348605.70020624279</c:v>
                </c:pt>
                <c:pt idx="62">
                  <c:v>351405.79097312945</c:v>
                </c:pt>
                <c:pt idx="63">
                  <c:v>354183.7455934654</c:v>
                </c:pt>
                <c:pt idx="64">
                  <c:v>356940.08090403979</c:v>
                </c:pt>
                <c:pt idx="65">
                  <c:v>359675.29393739067</c:v>
                </c:pt>
                <c:pt idx="66">
                  <c:v>362389.86296820483</c:v>
                </c:pt>
                <c:pt idx="67">
                  <c:v>365084.24848968786</c:v>
                </c:pt>
                <c:pt idx="68">
                  <c:v>367758.89412554802</c:v>
                </c:pt>
                <c:pt idx="69">
                  <c:v>370414.22748270875</c:v>
                </c:pt>
                <c:pt idx="70">
                  <c:v>373050.66094939143</c:v>
                </c:pt>
                <c:pt idx="71">
                  <c:v>375668.59244278545</c:v>
                </c:pt>
                <c:pt idx="72">
                  <c:v>378268.40611014498</c:v>
                </c:pt>
                <c:pt idx="73">
                  <c:v>380850.4729868081</c:v>
                </c:pt>
                <c:pt idx="74">
                  <c:v>383415.15161433222</c:v>
                </c:pt>
                <c:pt idx="75">
                  <c:v>385962.78862165875</c:v>
                </c:pt>
                <c:pt idx="76">
                  <c:v>388493.71927197627</c:v>
                </c:pt>
                <c:pt idx="77">
                  <c:v>391008.26797772321</c:v>
                </c:pt>
                <c:pt idx="78">
                  <c:v>393506.74878597044</c:v>
                </c:pt>
                <c:pt idx="79">
                  <c:v>395989.4658362401</c:v>
                </c:pt>
                <c:pt idx="80">
                  <c:v>398456.71379264857</c:v>
                </c:pt>
                <c:pt idx="81">
                  <c:v>400908.77825211384</c:v>
                </c:pt>
                <c:pt idx="82">
                  <c:v>403345.93613022607</c:v>
                </c:pt>
                <c:pt idx="83">
                  <c:v>405768.45602625923</c:v>
                </c:pt>
                <c:pt idx="84">
                  <c:v>408176.59856868349</c:v>
                </c:pt>
                <c:pt idx="85">
                  <c:v>410570.61674243823</c:v>
                </c:pt>
                <c:pt idx="86">
                  <c:v>412950.7561991284</c:v>
                </c:pt>
                <c:pt idx="87">
                  <c:v>415317.25555122056</c:v>
                </c:pt>
                <c:pt idx="88">
                  <c:v>417670.34665123606</c:v>
                </c:pt>
                <c:pt idx="89">
                  <c:v>420010.25485686614</c:v>
                </c:pt>
                <c:pt idx="90">
                  <c:v>422337.19928286626</c:v>
                </c:pt>
                <c:pt idx="91">
                  <c:v>424651.3930405284</c:v>
                </c:pt>
                <c:pt idx="92">
                  <c:v>426953.04346546967</c:v>
                </c:pt>
                <c:pt idx="93">
                  <c:v>429242.35233442788</c:v>
                </c:pt>
                <c:pt idx="94">
                  <c:v>431519.51607170561</c:v>
                </c:pt>
                <c:pt idx="95">
                  <c:v>433784.72594586003</c:v>
                </c:pt>
                <c:pt idx="96">
                  <c:v>436038.16825719597</c:v>
                </c:pt>
                <c:pt idx="97">
                  <c:v>438280.02451658313</c:v>
                </c:pt>
                <c:pt idx="98">
                  <c:v>440510.47161608154</c:v>
                </c:pt>
                <c:pt idx="99">
                  <c:v>442729.68199183175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0D-48CE-97A9-677BDA8DEDD5}"/>
            </c:ext>
          </c:extLst>
        </c:ser>
        <c:ser>
          <c:idx val="1"/>
          <c:order val="1"/>
          <c:tx>
            <c:strRef>
              <c:f>'First three graphs'!$T$3</c:f>
              <c:strCache>
                <c:ptCount val="1"/>
                <c:pt idx="0">
                  <c:v>ENPH 0.99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'First three graphs'!$R$4:$R$103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'First three graphs'!$T$4:$T$103</c:f>
              <c:numCache>
                <c:formatCode>General</c:formatCode>
                <c:ptCount val="100"/>
                <c:pt idx="0">
                  <c:v>58277.682629537034</c:v>
                </c:pt>
                <c:pt idx="1">
                  <c:v>82417.089158366216</c:v>
                </c:pt>
                <c:pt idx="2">
                  <c:v>100939.90726173234</c:v>
                </c:pt>
                <c:pt idx="3">
                  <c:v>116555.36525907407</c:v>
                </c:pt>
                <c:pt idx="4">
                  <c:v>130312.8599308035</c:v>
                </c:pt>
                <c:pt idx="5">
                  <c:v>142750.58583422436</c:v>
                </c:pt>
                <c:pt idx="6">
                  <c:v>154188.25522290374</c:v>
                </c:pt>
                <c:pt idx="7">
                  <c:v>164834.17831673243</c:v>
                </c:pt>
                <c:pt idx="8">
                  <c:v>174833.04788861109</c:v>
                </c:pt>
                <c:pt idx="9">
                  <c:v>184290.21386576782</c:v>
                </c:pt>
                <c:pt idx="10">
                  <c:v>193285.2069335868</c:v>
                </c:pt>
                <c:pt idx="11">
                  <c:v>201879.81452346468</c:v>
                </c:pt>
                <c:pt idx="12">
                  <c:v>210123.17293601282</c:v>
                </c:pt>
                <c:pt idx="13">
                  <c:v>218055.12169487463</c:v>
                </c:pt>
                <c:pt idx="14">
                  <c:v>225708.49427975822</c:v>
                </c:pt>
                <c:pt idx="15">
                  <c:v>233110.73051814814</c:v>
                </c:pt>
                <c:pt idx="16">
                  <c:v>240285.04109780476</c:v>
                </c:pt>
                <c:pt idx="17">
                  <c:v>247251.2674750986</c:v>
                </c:pt>
                <c:pt idx="18">
                  <c:v>254026.52924588765</c:v>
                </c:pt>
                <c:pt idx="19">
                  <c:v>260625.71986160701</c:v>
                </c:pt>
                <c:pt idx="20">
                  <c:v>267061.89197646652</c:v>
                </c:pt>
                <c:pt idx="21">
                  <c:v>273346.56105156866</c:v>
                </c:pt>
                <c:pt idx="22">
                  <c:v>279489.94746034779</c:v>
                </c:pt>
                <c:pt idx="23">
                  <c:v>285501.17166844872</c:v>
                </c:pt>
                <c:pt idx="24">
                  <c:v>291388.41314768518</c:v>
                </c:pt>
                <c:pt idx="25">
                  <c:v>297159.0409349766</c:v>
                </c:pt>
                <c:pt idx="26">
                  <c:v>302819.72178519709</c:v>
                </c:pt>
                <c:pt idx="27">
                  <c:v>308376.51044580748</c:v>
                </c:pt>
                <c:pt idx="28">
                  <c:v>313834.92553793662</c:v>
                </c:pt>
                <c:pt idx="29">
                  <c:v>319200.01375324419</c:v>
                </c:pt>
                <c:pt idx="30">
                  <c:v>324476.40449305449</c:v>
                </c:pt>
                <c:pt idx="31">
                  <c:v>329668.35663346486</c:v>
                </c:pt>
                <c:pt idx="32">
                  <c:v>334779.79876043653</c:v>
                </c:pt>
                <c:pt idx="33">
                  <c:v>339814.36395589204</c:v>
                </c:pt>
                <c:pt idx="34">
                  <c:v>344775.42001049977</c:v>
                </c:pt>
                <c:pt idx="35">
                  <c:v>349666.09577722219</c:v>
                </c:pt>
                <c:pt idx="36">
                  <c:v>354489.30425155925</c:v>
                </c:pt>
                <c:pt idx="37">
                  <c:v>359247.76286209992</c:v>
                </c:pt>
                <c:pt idx="38">
                  <c:v>363944.01137275592</c:v>
                </c:pt>
                <c:pt idx="39">
                  <c:v>368580.42773153563</c:v>
                </c:pt>
                <c:pt idx="40">
                  <c:v>373159.2421466079</c:v>
                </c:pt>
                <c:pt idx="41">
                  <c:v>377682.54962613742</c:v>
                </c:pt>
                <c:pt idx="42">
                  <c:v>382152.32118197164</c:v>
                </c:pt>
                <c:pt idx="43">
                  <c:v>386570.4138671736</c:v>
                </c:pt>
                <c:pt idx="44">
                  <c:v>390938.57979241054</c:v>
                </c:pt>
                <c:pt idx="45">
                  <c:v>395258.47424536763</c:v>
                </c:pt>
                <c:pt idx="46">
                  <c:v>399531.66301989753</c:v>
                </c:pt>
                <c:pt idx="47">
                  <c:v>403759.62904692936</c:v>
                </c:pt>
                <c:pt idx="48">
                  <c:v>407943.77840675926</c:v>
                </c:pt>
                <c:pt idx="49">
                  <c:v>412085.44579183107</c:v>
                </c:pt>
                <c:pt idx="50">
                  <c:v>416185.8994801736</c:v>
                </c:pt>
                <c:pt idx="51">
                  <c:v>420246.34587202565</c:v>
                </c:pt>
                <c:pt idx="52">
                  <c:v>424267.93363564403</c:v>
                </c:pt>
                <c:pt idx="53">
                  <c:v>428251.75750267308</c:v>
                </c:pt>
                <c:pt idx="54">
                  <c:v>432198.86174861382</c:v>
                </c:pt>
                <c:pt idx="55">
                  <c:v>436110.24338974926</c:v>
                </c:pt>
                <c:pt idx="56">
                  <c:v>439986.85512425873</c:v>
                </c:pt>
                <c:pt idx="57">
                  <c:v>443829.60804210039</c:v>
                </c:pt>
                <c:pt idx="58">
                  <c:v>447639.37412550458</c:v>
                </c:pt>
                <c:pt idx="59">
                  <c:v>451416.98855951644</c:v>
                </c:pt>
                <c:pt idx="60">
                  <c:v>455163.25186993252</c:v>
                </c:pt>
                <c:pt idx="61">
                  <c:v>458878.93190413597</c:v>
                </c:pt>
                <c:pt idx="62">
                  <c:v>462564.76566871128</c:v>
                </c:pt>
                <c:pt idx="63">
                  <c:v>466221.46103629627</c:v>
                </c:pt>
                <c:pt idx="64">
                  <c:v>469849.69833286875</c:v>
                </c:pt>
                <c:pt idx="65">
                  <c:v>473450.13181554491</c:v>
                </c:pt>
                <c:pt idx="66">
                  <c:v>477023.39104998391</c:v>
                </c:pt>
                <c:pt idx="67">
                  <c:v>480570.08219560952</c:v>
                </c:pt>
                <c:pt idx="68">
                  <c:v>484090.78920607851</c:v>
                </c:pt>
                <c:pt idx="69">
                  <c:v>487586.07495172886</c:v>
                </c:pt>
                <c:pt idx="70">
                  <c:v>491056.48227011733</c:v>
                </c:pt>
                <c:pt idx="71">
                  <c:v>494502.53495019721</c:v>
                </c:pt>
                <c:pt idx="72">
                  <c:v>497924.73865519086</c:v>
                </c:pt>
                <c:pt idx="73">
                  <c:v>501323.58178875764</c:v>
                </c:pt>
                <c:pt idx="74">
                  <c:v>504699.53630866186</c:v>
                </c:pt>
                <c:pt idx="75">
                  <c:v>508053.0584917753</c:v>
                </c:pt>
                <c:pt idx="76">
                  <c:v>511384.58965392795</c:v>
                </c:pt>
                <c:pt idx="77">
                  <c:v>514694.55682781938</c:v>
                </c:pt>
                <c:pt idx="78">
                  <c:v>517983.37340194074</c:v>
                </c:pt>
                <c:pt idx="79">
                  <c:v>521251.43972321402</c:v>
                </c:pt>
                <c:pt idx="80">
                  <c:v>524499.14366583328</c:v>
                </c:pt>
                <c:pt idx="81">
                  <c:v>527726.86116859887</c:v>
                </c:pt>
                <c:pt idx="82">
                  <c:v>530934.95674284862</c:v>
                </c:pt>
                <c:pt idx="83">
                  <c:v>534123.78395293304</c:v>
                </c:pt>
                <c:pt idx="84">
                  <c:v>537293.68587102217</c:v>
                </c:pt>
                <c:pt idx="85">
                  <c:v>540444.9955079034</c:v>
                </c:pt>
                <c:pt idx="86">
                  <c:v>543578.03622130165</c:v>
                </c:pt>
                <c:pt idx="87">
                  <c:v>546693.12210313731</c:v>
                </c:pt>
                <c:pt idx="88">
                  <c:v>549790.55834703532</c:v>
                </c:pt>
                <c:pt idx="89">
                  <c:v>552870.64159730345</c:v>
                </c:pt>
                <c:pt idx="90">
                  <c:v>555933.66028050764</c:v>
                </c:pt>
                <c:pt idx="91">
                  <c:v>558979.89492069557</c:v>
                </c:pt>
                <c:pt idx="92">
                  <c:v>562009.61843924073</c:v>
                </c:pt>
                <c:pt idx="93">
                  <c:v>565023.09644021629</c:v>
                </c:pt>
                <c:pt idx="94">
                  <c:v>568020.58748214308</c:v>
                </c:pt>
                <c:pt idx="95">
                  <c:v>571002.34333689744</c:v>
                </c:pt>
                <c:pt idx="96">
                  <c:v>573968.60923651315</c:v>
                </c:pt>
                <c:pt idx="97">
                  <c:v>576919.62410856353</c:v>
                </c:pt>
                <c:pt idx="98">
                  <c:v>579855.62080076046</c:v>
                </c:pt>
                <c:pt idx="99">
                  <c:v>582776.82629537035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0D-48CE-97A9-677BDA8DEDD5}"/>
            </c:ext>
          </c:extLst>
        </c:ser>
        <c:ser>
          <c:idx val="2"/>
          <c:order val="2"/>
          <c:tx>
            <c:strRef>
              <c:f>'First three graphs'!$U$3</c:f>
              <c:strCache>
                <c:ptCount val="1"/>
                <c:pt idx="0">
                  <c:v>ENPH 0.995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'First three graphs'!$R$4:$R$103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'First three graphs'!$U$4:$U$103</c:f>
              <c:numCache>
                <c:formatCode>General</c:formatCode>
                <c:ptCount val="100"/>
                <c:pt idx="0">
                  <c:v>63247.097427404529</c:v>
                </c:pt>
                <c:pt idx="1">
                  <c:v>89444.902962567983</c:v>
                </c:pt>
                <c:pt idx="2">
                  <c:v>109547.18617552347</c:v>
                </c:pt>
                <c:pt idx="3">
                  <c:v>126494.19485480906</c:v>
                </c:pt>
                <c:pt idx="4">
                  <c:v>141424.8092272286</c:v>
                </c:pt>
                <c:pt idx="5">
                  <c:v>154923.11640923572</c:v>
                </c:pt>
                <c:pt idx="6">
                  <c:v>167336.09093958544</c:v>
                </c:pt>
                <c:pt idx="7">
                  <c:v>178889.80592513597</c:v>
                </c:pt>
                <c:pt idx="8">
                  <c:v>189741.29228221357</c:v>
                </c:pt>
                <c:pt idx="9">
                  <c:v>200004.88326517434</c:v>
                </c:pt>
                <c:pt idx="10">
                  <c:v>209766.8912457531</c:v>
                </c:pt>
                <c:pt idx="11">
                  <c:v>219094.37235104694</c:v>
                </c:pt>
                <c:pt idx="12">
                  <c:v>228040.65279877358</c:v>
                </c:pt>
                <c:pt idx="13">
                  <c:v>236648.96928125928</c:v>
                </c:pt>
                <c:pt idx="14">
                  <c:v>244954.95503229572</c:v>
                </c:pt>
                <c:pt idx="15">
                  <c:v>252988.38970961812</c:v>
                </c:pt>
                <c:pt idx="16">
                  <c:v>260774.46320691987</c:v>
                </c:pt>
                <c:pt idx="17">
                  <c:v>268334.70888770389</c:v>
                </c:pt>
                <c:pt idx="18">
                  <c:v>275687.7061583277</c:v>
                </c:pt>
                <c:pt idx="19">
                  <c:v>282849.6184544572</c:v>
                </c:pt>
                <c:pt idx="20">
                  <c:v>289834.611447328</c:v>
                </c:pt>
                <c:pt idx="21">
                  <c:v>296655.18253658613</c:v>
                </c:pt>
                <c:pt idx="22">
                  <c:v>303322.4236003774</c:v>
                </c:pt>
                <c:pt idx="23">
                  <c:v>309846.23281847144</c:v>
                </c:pt>
                <c:pt idx="24">
                  <c:v>316235.48713702266</c:v>
                </c:pt>
                <c:pt idx="25">
                  <c:v>322498.1839604397</c:v>
                </c:pt>
                <c:pt idx="26">
                  <c:v>328641.55852657044</c:v>
                </c:pt>
                <c:pt idx="27">
                  <c:v>334672.18187917088</c:v>
                </c:pt>
                <c:pt idx="28">
                  <c:v>340596.04321946611</c:v>
                </c:pt>
                <c:pt idx="29">
                  <c:v>346418.61957716424</c:v>
                </c:pt>
                <c:pt idx="30">
                  <c:v>352144.93510874128</c:v>
                </c:pt>
                <c:pt idx="31">
                  <c:v>357779.61185027193</c:v>
                </c:pt>
                <c:pt idx="32">
                  <c:v>363326.91338341951</c:v>
                </c:pt>
                <c:pt idx="33">
                  <c:v>368790.78258778976</c:v>
                </c:pt>
                <c:pt idx="34">
                  <c:v>374174.87442999973</c:v>
                </c:pt>
                <c:pt idx="35">
                  <c:v>379482.58456442715</c:v>
                </c:pt>
                <c:pt idx="36">
                  <c:v>384717.07438153715</c:v>
                </c:pt>
                <c:pt idx="37">
                  <c:v>389881.29302863555</c:v>
                </c:pt>
                <c:pt idx="38">
                  <c:v>394977.99683864979</c:v>
                </c:pt>
                <c:pt idx="39">
                  <c:v>400009.76653034869</c:v>
                </c:pt>
                <c:pt idx="40">
                  <c:v>404979.02248469071</c:v>
                </c:pt>
                <c:pt idx="41">
                  <c:v>409888.03835394757</c:v>
                </c:pt>
                <c:pt idx="42">
                  <c:v>414738.95322074438</c:v>
                </c:pt>
                <c:pt idx="43">
                  <c:v>419533.78249150619</c:v>
                </c:pt>
                <c:pt idx="44">
                  <c:v>424274.42768168577</c:v>
                </c:pt>
                <c:pt idx="45">
                  <c:v>428962.68522753072</c:v>
                </c:pt>
                <c:pt idx="46">
                  <c:v>433600.25444019889</c:v>
                </c:pt>
                <c:pt idx="47">
                  <c:v>438188.74470209389</c:v>
                </c:pt>
                <c:pt idx="48">
                  <c:v>442729.68199183169</c:v>
                </c:pt>
                <c:pt idx="49">
                  <c:v>447224.51481283992</c:v>
                </c:pt>
                <c:pt idx="50">
                  <c:v>451674.61959088605</c:v>
                </c:pt>
                <c:pt idx="51">
                  <c:v>456081.30559754715</c:v>
                </c:pt>
                <c:pt idx="52">
                  <c:v>460445.81944953609</c:v>
                </c:pt>
                <c:pt idx="53">
                  <c:v>464769.34922770719</c:v>
                </c:pt>
                <c:pt idx="54">
                  <c:v>469053.02825430949</c:v>
                </c:pt>
                <c:pt idx="55">
                  <c:v>473297.93856251857</c:v>
                </c:pt>
                <c:pt idx="56">
                  <c:v>477505.11408834276</c:v>
                </c:pt>
                <c:pt idx="57">
                  <c:v>481675.54361158179</c:v>
                </c:pt>
                <c:pt idx="58">
                  <c:v>485810.17346953985</c:v>
                </c:pt>
                <c:pt idx="59">
                  <c:v>489909.91006459144</c:v>
                </c:pt>
                <c:pt idx="60">
                  <c:v>493975.6221844228</c:v>
                </c:pt>
                <c:pt idx="61">
                  <c:v>498008.14315177541</c:v>
                </c:pt>
                <c:pt idx="62">
                  <c:v>502008.27281875635</c:v>
                </c:pt>
                <c:pt idx="63">
                  <c:v>505976.77941923623</c:v>
                </c:pt>
                <c:pt idx="64">
                  <c:v>509914.40129148541</c:v>
                </c:pt>
                <c:pt idx="65">
                  <c:v>513821.84848198667</c:v>
                </c:pt>
                <c:pt idx="66">
                  <c:v>517699.80424029258</c:v>
                </c:pt>
                <c:pt idx="67">
                  <c:v>521548.92641383974</c:v>
                </c:pt>
                <c:pt idx="68">
                  <c:v>525369.8487507829</c:v>
                </c:pt>
                <c:pt idx="69">
                  <c:v>529163.1821181553</c:v>
                </c:pt>
                <c:pt idx="70">
                  <c:v>532929.51564198779</c:v>
                </c:pt>
                <c:pt idx="71">
                  <c:v>536669.41777540778</c:v>
                </c:pt>
                <c:pt idx="72">
                  <c:v>540383.43730020709</c:v>
                </c:pt>
                <c:pt idx="73">
                  <c:v>544072.10426686867</c:v>
                </c:pt>
                <c:pt idx="74">
                  <c:v>547735.93087761744</c:v>
                </c:pt>
                <c:pt idx="75">
                  <c:v>551375.41231665539</c:v>
                </c:pt>
                <c:pt idx="76">
                  <c:v>554991.02753139462</c:v>
                </c:pt>
                <c:pt idx="77">
                  <c:v>558583.239968176</c:v>
                </c:pt>
                <c:pt idx="78">
                  <c:v>562152.49826567201</c:v>
                </c:pt>
                <c:pt idx="79">
                  <c:v>565699.2369089144</c:v>
                </c:pt>
                <c:pt idx="80">
                  <c:v>569223.87684664072</c:v>
                </c:pt>
                <c:pt idx="81">
                  <c:v>572726.8260744483</c:v>
                </c:pt>
                <c:pt idx="82">
                  <c:v>576208.48018603725</c:v>
                </c:pt>
                <c:pt idx="83">
                  <c:v>579669.22289465601</c:v>
                </c:pt>
                <c:pt idx="84">
                  <c:v>583109.42652669072</c:v>
                </c:pt>
                <c:pt idx="85">
                  <c:v>586529.45248919737</c:v>
                </c:pt>
                <c:pt idx="86">
                  <c:v>589929.65171304054</c:v>
                </c:pt>
                <c:pt idx="87">
                  <c:v>593310.36507317226</c:v>
                </c:pt>
                <c:pt idx="88">
                  <c:v>596671.9237874801</c:v>
                </c:pt>
                <c:pt idx="89">
                  <c:v>600014.64979552303</c:v>
                </c:pt>
                <c:pt idx="90">
                  <c:v>603338.85611838032</c:v>
                </c:pt>
                <c:pt idx="91">
                  <c:v>606644.8472007548</c:v>
                </c:pt>
                <c:pt idx="92">
                  <c:v>609932.91923638526</c:v>
                </c:pt>
                <c:pt idx="93">
                  <c:v>613203.36047775415</c:v>
                </c:pt>
                <c:pt idx="94">
                  <c:v>616456.451531008</c:v>
                </c:pt>
                <c:pt idx="95">
                  <c:v>619692.46563694288</c:v>
                </c:pt>
                <c:pt idx="96">
                  <c:v>622911.66893885133</c:v>
                </c:pt>
                <c:pt idx="97">
                  <c:v>626114.32073797588</c:v>
                </c:pt>
                <c:pt idx="98">
                  <c:v>629300.67373725935</c:v>
                </c:pt>
                <c:pt idx="99">
                  <c:v>632470.97427404532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0D-48CE-97A9-677BDA8DEDD5}"/>
            </c:ext>
          </c:extLst>
        </c:ser>
        <c:ser>
          <c:idx val="3"/>
          <c:order val="3"/>
          <c:tx>
            <c:strRef>
              <c:f>'First three graphs'!$V$3</c:f>
              <c:strCache>
                <c:ptCount val="1"/>
                <c:pt idx="0">
                  <c:v>SEDG 0.95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'First three graphs'!$R$4:$R$103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'First three graphs'!$V$4:$V$103</c:f>
              <c:numCache>
                <c:formatCode>General</c:formatCode>
                <c:ptCount val="100"/>
                <c:pt idx="0">
                  <c:v>39737.413706589767</c:v>
                </c:pt>
                <c:pt idx="1">
                  <c:v>56197.189397489776</c:v>
                </c:pt>
                <c:pt idx="2">
                  <c:v>68827.219501197382</c:v>
                </c:pt>
                <c:pt idx="3">
                  <c:v>79474.827413179533</c:v>
                </c:pt>
                <c:pt idx="4">
                  <c:v>88855.558297966607</c:v>
                </c:pt>
                <c:pt idx="5">
                  <c:v>97336.3872790233</c:v>
                </c:pt>
                <c:pt idx="6">
                  <c:v>105135.31441252591</c:v>
                </c:pt>
                <c:pt idx="7">
                  <c:v>112394.37879497955</c:v>
                </c:pt>
                <c:pt idx="8">
                  <c:v>119212.24111976931</c:v>
                </c:pt>
                <c:pt idx="9">
                  <c:v>125660.73563721759</c:v>
                </c:pt>
                <c:pt idx="10">
                  <c:v>131794.09140388409</c:v>
                </c:pt>
                <c:pt idx="11">
                  <c:v>137654.43900239476</c:v>
                </c:pt>
                <c:pt idx="12">
                  <c:v>143275.28267343494</c:v>
                </c:pt>
                <c:pt idx="13">
                  <c:v>148683.78752655367</c:v>
                </c:pt>
                <c:pt idx="14">
                  <c:v>153902.34150697655</c:v>
                </c:pt>
                <c:pt idx="15">
                  <c:v>158949.65482635907</c:v>
                </c:pt>
                <c:pt idx="16">
                  <c:v>163841.5540011366</c:v>
                </c:pt>
                <c:pt idx="17">
                  <c:v>168591.56819246931</c:v>
                </c:pt>
                <c:pt idx="18">
                  <c:v>173211.37062469285</c:v>
                </c:pt>
                <c:pt idx="19">
                  <c:v>177711.11659593321</c:v>
                </c:pt>
                <c:pt idx="20">
                  <c:v>182099.70623222334</c:v>
                </c:pt>
                <c:pt idx="21">
                  <c:v>186384.99150401223</c:v>
                </c:pt>
                <c:pt idx="22">
                  <c:v>190573.94130898215</c:v>
                </c:pt>
                <c:pt idx="23">
                  <c:v>194672.7745580466</c:v>
                </c:pt>
                <c:pt idx="24">
                  <c:v>198687.06853294885</c:v>
                </c:pt>
                <c:pt idx="25">
                  <c:v>202621.8479096106</c:v>
                </c:pt>
                <c:pt idx="26">
                  <c:v>206481.65850359216</c:v>
                </c:pt>
                <c:pt idx="27">
                  <c:v>210270.62882505183</c:v>
                </c:pt>
                <c:pt idx="28">
                  <c:v>213992.52181927147</c:v>
                </c:pt>
                <c:pt idx="29">
                  <c:v>217650.77864014191</c:v>
                </c:pt>
                <c:pt idx="30">
                  <c:v>221248.55590658376</c:v>
                </c:pt>
                <c:pt idx="31">
                  <c:v>224788.7575899591</c:v>
                </c:pt>
                <c:pt idx="32">
                  <c:v>228274.06244890386</c:v>
                </c:pt>
                <c:pt idx="33">
                  <c:v>231706.94774869122</c:v>
                </c:pt>
                <c:pt idx="34">
                  <c:v>235089.70986222132</c:v>
                </c:pt>
                <c:pt idx="35">
                  <c:v>238424.48223953863</c:v>
                </c:pt>
                <c:pt idx="36">
                  <c:v>241713.25114540313</c:v>
                </c:pt>
                <c:pt idx="37">
                  <c:v>244957.8694946733</c:v>
                </c:pt>
                <c:pt idx="38">
                  <c:v>248160.06905918219</c:v>
                </c:pt>
                <c:pt idx="39">
                  <c:v>251321.47127443517</c:v>
                </c:pt>
                <c:pt idx="40">
                  <c:v>254443.59683756123</c:v>
                </c:pt>
                <c:pt idx="41">
                  <c:v>257527.8742577667</c:v>
                </c:pt>
                <c:pt idx="42">
                  <c:v>260575.64749571812</c:v>
                </c:pt>
                <c:pt idx="43">
                  <c:v>263588.18280776817</c:v>
                </c:pt>
                <c:pt idx="44">
                  <c:v>266566.67489389982</c:v>
                </c:pt>
                <c:pt idx="45">
                  <c:v>269512.25243405678</c:v>
                </c:pt>
                <c:pt idx="46">
                  <c:v>272425.98308562161</c:v>
                </c:pt>
                <c:pt idx="47">
                  <c:v>275308.87800478953</c:v>
                </c:pt>
                <c:pt idx="48">
                  <c:v>278161.89594612841</c:v>
                </c:pt>
                <c:pt idx="49">
                  <c:v>280985.94698744884</c:v>
                </c:pt>
                <c:pt idx="50">
                  <c:v>283781.89592100854</c:v>
                </c:pt>
                <c:pt idx="51">
                  <c:v>286550.56534686987</c:v>
                </c:pt>
                <c:pt idx="52">
                  <c:v>289292.73849977535</c:v>
                </c:pt>
                <c:pt idx="53">
                  <c:v>292009.1618370699</c:v>
                </c:pt>
                <c:pt idx="54">
                  <c:v>294700.54741190554</c:v>
                </c:pt>
                <c:pt idx="55">
                  <c:v>297367.57505310734</c:v>
                </c:pt>
                <c:pt idx="56">
                  <c:v>300010.89437061135</c:v>
                </c:pt>
                <c:pt idx="57">
                  <c:v>302631.12660323421</c:v>
                </c:pt>
                <c:pt idx="58">
                  <c:v>305228.86632366775</c:v>
                </c:pt>
                <c:pt idx="59">
                  <c:v>307804.68301395309</c:v>
                </c:pt>
                <c:pt idx="60">
                  <c:v>310359.12252326141</c:v>
                </c:pt>
                <c:pt idx="61">
                  <c:v>312892.70841855271</c:v>
                </c:pt>
                <c:pt idx="62">
                  <c:v>315405.94323757774</c:v>
                </c:pt>
                <c:pt idx="63">
                  <c:v>317899.30965271813</c:v>
                </c:pt>
                <c:pt idx="64">
                  <c:v>320373.27155329834</c:v>
                </c:pt>
                <c:pt idx="65">
                  <c:v>322828.27505324269</c:v>
                </c:pt>
                <c:pt idx="66">
                  <c:v>325264.74943027692</c:v>
                </c:pt>
                <c:pt idx="67">
                  <c:v>327683.10800227319</c:v>
                </c:pt>
                <c:pt idx="68">
                  <c:v>330083.74894580635</c:v>
                </c:pt>
                <c:pt idx="69">
                  <c:v>332467.05606150936</c:v>
                </c:pt>
                <c:pt idx="70">
                  <c:v>334833.39949039655</c:v>
                </c:pt>
                <c:pt idx="71">
                  <c:v>337183.13638493861</c:v>
                </c:pt>
                <c:pt idx="72">
                  <c:v>339516.61153833516</c:v>
                </c:pt>
                <c:pt idx="73">
                  <c:v>341834.15797512315</c:v>
                </c:pt>
                <c:pt idx="74">
                  <c:v>344136.09750598698</c:v>
                </c:pt>
                <c:pt idx="75">
                  <c:v>346422.7412493857</c:v>
                </c:pt>
                <c:pt idx="76">
                  <c:v>348694.39012239286</c:v>
                </c:pt>
                <c:pt idx="77">
                  <c:v>350951.33530293935</c:v>
                </c:pt>
                <c:pt idx="78">
                  <c:v>353193.85866547114</c:v>
                </c:pt>
                <c:pt idx="79">
                  <c:v>355422.23319186643</c:v>
                </c:pt>
                <c:pt idx="80">
                  <c:v>357636.72335930791</c:v>
                </c:pt>
                <c:pt idx="81">
                  <c:v>359837.58550667111</c:v>
                </c:pt>
                <c:pt idx="82">
                  <c:v>362025.06818086439</c:v>
                </c:pt>
                <c:pt idx="83">
                  <c:v>364199.41246444668</c:v>
                </c:pt>
                <c:pt idx="84">
                  <c:v>366360.8522857441</c:v>
                </c:pt>
                <c:pt idx="85">
                  <c:v>368509.61471259542</c:v>
                </c:pt>
                <c:pt idx="86">
                  <c:v>370645.92023076979</c:v>
                </c:pt>
                <c:pt idx="87">
                  <c:v>372769.98300802446</c:v>
                </c:pt>
                <c:pt idx="88">
                  <c:v>374882.01114469534</c:v>
                </c:pt>
                <c:pt idx="89">
                  <c:v>376982.20691165276</c:v>
                </c:pt>
                <c:pt idx="90">
                  <c:v>379070.76697639032</c:v>
                </c:pt>
                <c:pt idx="91">
                  <c:v>381147.88261796429</c:v>
                </c:pt>
                <c:pt idx="92">
                  <c:v>383213.73993144633</c:v>
                </c:pt>
                <c:pt idx="93">
                  <c:v>385268.52002250956</c:v>
                </c:pt>
                <c:pt idx="94">
                  <c:v>387312.39919272333</c:v>
                </c:pt>
                <c:pt idx="95">
                  <c:v>389345.5491160932</c:v>
                </c:pt>
                <c:pt idx="96">
                  <c:v>391368.13700734609</c:v>
                </c:pt>
                <c:pt idx="97">
                  <c:v>393380.32578242844</c:v>
                </c:pt>
                <c:pt idx="98">
                  <c:v>395382.27421165229</c:v>
                </c:pt>
                <c:pt idx="99">
                  <c:v>397374.1370658977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0D-48CE-97A9-677BDA8DEDD5}"/>
            </c:ext>
          </c:extLst>
        </c:ser>
        <c:ser>
          <c:idx val="4"/>
          <c:order val="4"/>
          <c:tx>
            <c:strRef>
              <c:f>'First three graphs'!$W$3</c:f>
              <c:strCache>
                <c:ptCount val="1"/>
                <c:pt idx="0">
                  <c:v>SEDG 0.99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'First three graphs'!$R$4:$R$103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'First three graphs'!$W$4:$W$103</c:f>
              <c:numCache>
                <c:formatCode>General</c:formatCode>
                <c:ptCount val="100"/>
                <c:pt idx="0">
                  <c:v>52307.411919898783</c:v>
                </c:pt>
                <c:pt idx="1">
                  <c:v>73973.851349756951</c:v>
                </c:pt>
                <c:pt idx="2">
                  <c:v>90599.095057698592</c:v>
                </c:pt>
                <c:pt idx="3">
                  <c:v>104614.82383979757</c:v>
                </c:pt>
                <c:pt idx="4">
                  <c:v>116962.92877997646</c:v>
                </c:pt>
                <c:pt idx="5">
                  <c:v>128126.4689693266</c:v>
                </c:pt>
                <c:pt idx="6">
                  <c:v>138392.40366546781</c:v>
                </c:pt>
                <c:pt idx="7">
                  <c:v>147947.7026995139</c:v>
                </c:pt>
                <c:pt idx="8">
                  <c:v>156922.23575969634</c:v>
                </c:pt>
                <c:pt idx="9">
                  <c:v>165410.56017552112</c:v>
                </c:pt>
                <c:pt idx="10">
                  <c:v>173484.05909286783</c:v>
                </c:pt>
                <c:pt idx="11">
                  <c:v>181198.19011539718</c:v>
                </c:pt>
                <c:pt idx="12">
                  <c:v>188597.05576401131</c:v>
                </c:pt>
                <c:pt idx="13">
                  <c:v>195716.41419311657</c:v>
                </c:pt>
                <c:pt idx="14">
                  <c:v>202585.73524897933</c:v>
                </c:pt>
                <c:pt idx="15">
                  <c:v>209229.64767959513</c:v>
                </c:pt>
                <c:pt idx="16">
                  <c:v>215668.98434843493</c:v>
                </c:pt>
                <c:pt idx="17">
                  <c:v>221921.55404927084</c:v>
                </c:pt>
                <c:pt idx="18">
                  <c:v>228002.72255699366</c:v>
                </c:pt>
                <c:pt idx="19">
                  <c:v>233925.85755995291</c:v>
                </c:pt>
                <c:pt idx="20">
                  <c:v>239702.67453017153</c:v>
                </c:pt>
                <c:pt idx="21">
                  <c:v>245343.50922466919</c:v>
                </c:pt>
                <c:pt idx="22">
                  <c:v>250857.53498835405</c:v>
                </c:pt>
                <c:pt idx="23">
                  <c:v>256252.93793865319</c:v>
                </c:pt>
                <c:pt idx="24">
                  <c:v>261537.05959949389</c:v>
                </c:pt>
                <c:pt idx="25">
                  <c:v>266716.51408509968</c:v>
                </c:pt>
                <c:pt idx="26">
                  <c:v>271797.28517309582</c:v>
                </c:pt>
                <c:pt idx="27">
                  <c:v>276784.80733093561</c:v>
                </c:pt>
                <c:pt idx="28">
                  <c:v>281684.03382332675</c:v>
                </c:pt>
                <c:pt idx="29">
                  <c:v>286499.4943324317</c:v>
                </c:pt>
                <c:pt idx="30">
                  <c:v>291235.34399948269</c:v>
                </c:pt>
                <c:pt idx="31">
                  <c:v>295895.4053990278</c:v>
                </c:pt>
                <c:pt idx="32">
                  <c:v>300483.20465212857</c:v>
                </c:pt>
                <c:pt idx="33">
                  <c:v>305002.00264878746</c:v>
                </c:pt>
                <c:pt idx="34">
                  <c:v>309454.82216557703</c:v>
                </c:pt>
                <c:pt idx="35">
                  <c:v>313844.47151939268</c:v>
                </c:pt>
                <c:pt idx="36">
                  <c:v>318173.56528323476</c:v>
                </c:pt>
                <c:pt idx="37">
                  <c:v>322444.54249809036</c:v>
                </c:pt>
                <c:pt idx="38">
                  <c:v>326659.68274116842</c:v>
                </c:pt>
                <c:pt idx="39">
                  <c:v>330821.12035104225</c:v>
                </c:pt>
                <c:pt idx="40">
                  <c:v>334930.85706168774</c:v>
                </c:pt>
                <c:pt idx="41">
                  <c:v>338990.7732576725</c:v>
                </c:pt>
                <c:pt idx="42">
                  <c:v>343002.63803007797</c:v>
                </c:pt>
                <c:pt idx="43">
                  <c:v>346968.11818573566</c:v>
                </c:pt>
                <c:pt idx="44">
                  <c:v>350888.78633992939</c:v>
                </c:pt>
                <c:pt idx="45">
                  <c:v>354766.12820401357</c:v>
                </c:pt>
                <c:pt idx="46">
                  <c:v>358601.54916372645</c:v>
                </c:pt>
                <c:pt idx="47">
                  <c:v>362396.38023079437</c:v>
                </c:pt>
                <c:pt idx="48">
                  <c:v>366151.88343929144</c:v>
                </c:pt>
                <c:pt idx="49">
                  <c:v>369869.25674878474</c:v>
                </c:pt>
                <c:pt idx="50">
                  <c:v>373549.63850826636</c:v>
                </c:pt>
                <c:pt idx="51">
                  <c:v>377194.11152802262</c:v>
                </c:pt>
                <c:pt idx="52">
                  <c:v>380803.70680072473</c:v>
                </c:pt>
                <c:pt idx="53">
                  <c:v>384379.40690797981</c:v>
                </c:pt>
                <c:pt idx="54">
                  <c:v>387922.14914424298</c:v>
                </c:pt>
                <c:pt idx="55">
                  <c:v>391432.82838623313</c:v>
                </c:pt>
                <c:pt idx="56">
                  <c:v>394912.29973274353</c:v>
                </c:pt>
                <c:pt idx="57">
                  <c:v>398361.3809369104</c:v>
                </c:pt>
                <c:pt idx="58">
                  <c:v>401780.8546505422</c:v>
                </c:pt>
                <c:pt idx="59">
                  <c:v>405171.47049795865</c:v>
                </c:pt>
                <c:pt idx="60">
                  <c:v>408533.9469949053</c:v>
                </c:pt>
                <c:pt idx="61">
                  <c:v>411868.97332646226</c:v>
                </c:pt>
                <c:pt idx="62">
                  <c:v>415177.21099640336</c:v>
                </c:pt>
                <c:pt idx="63">
                  <c:v>418459.29535919026</c:v>
                </c:pt>
                <c:pt idx="64">
                  <c:v>421715.83704464784</c:v>
                </c:pt>
                <c:pt idx="65">
                  <c:v>424947.42328437051</c:v>
                </c:pt>
                <c:pt idx="66">
                  <c:v>428154.61914801755</c:v>
                </c:pt>
                <c:pt idx="67">
                  <c:v>431337.96869686985</c:v>
                </c:pt>
                <c:pt idx="68">
                  <c:v>434497.99606131657</c:v>
                </c:pt>
                <c:pt idx="69">
                  <c:v>437635.20644831331</c:v>
                </c:pt>
                <c:pt idx="70">
                  <c:v>440750.0870842975</c:v>
                </c:pt>
                <c:pt idx="71">
                  <c:v>443843.10809854168</c:v>
                </c:pt>
                <c:pt idx="72">
                  <c:v>446914.72335148201</c:v>
                </c:pt>
                <c:pt idx="73">
                  <c:v>449965.37121215195</c:v>
                </c:pt>
                <c:pt idx="74">
                  <c:v>452995.47528849303</c:v>
                </c:pt>
                <c:pt idx="75">
                  <c:v>456005.44511398731</c:v>
                </c:pt>
                <c:pt idx="76">
                  <c:v>458995.67679376202</c:v>
                </c:pt>
                <c:pt idx="77">
                  <c:v>461966.55361305288</c:v>
                </c:pt>
                <c:pt idx="78">
                  <c:v>464918.44661067118</c:v>
                </c:pt>
                <c:pt idx="79">
                  <c:v>467851.71511990583</c:v>
                </c:pt>
                <c:pt idx="80">
                  <c:v>470766.70727908902</c:v>
                </c:pt>
                <c:pt idx="81">
                  <c:v>473663.76051388343</c:v>
                </c:pt>
                <c:pt idx="82">
                  <c:v>476543.20199317863</c:v>
                </c:pt>
                <c:pt idx="83">
                  <c:v>479405.34906034305</c:v>
                </c:pt>
                <c:pt idx="84">
                  <c:v>482250.50964143866</c:v>
                </c:pt>
                <c:pt idx="85">
                  <c:v>485078.9826318858</c:v>
                </c:pt>
                <c:pt idx="86">
                  <c:v>487891.05826295208</c:v>
                </c:pt>
                <c:pt idx="87">
                  <c:v>490687.01844933839</c:v>
                </c:pt>
                <c:pt idx="88">
                  <c:v>493467.1371190378</c:v>
                </c:pt>
                <c:pt idx="89">
                  <c:v>496231.68052656332</c:v>
                </c:pt>
                <c:pt idx="90">
                  <c:v>498980.90755055466</c:v>
                </c:pt>
                <c:pt idx="91">
                  <c:v>501715.0699767081</c:v>
                </c:pt>
                <c:pt idx="92">
                  <c:v>504434.41276690381</c:v>
                </c:pt>
                <c:pt idx="93">
                  <c:v>507139.17431534425</c:v>
                </c:pt>
                <c:pt idx="94">
                  <c:v>509829.58669246233</c:v>
                </c:pt>
                <c:pt idx="95">
                  <c:v>512505.87587730639</c:v>
                </c:pt>
                <c:pt idx="96">
                  <c:v>515168.26197905757</c:v>
                </c:pt>
                <c:pt idx="97">
                  <c:v>517816.95944829867</c:v>
                </c:pt>
                <c:pt idx="98">
                  <c:v>520452.17727860354</c:v>
                </c:pt>
                <c:pt idx="99">
                  <c:v>523074.11919898778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40D-48CE-97A9-677BDA8DEDD5}"/>
            </c:ext>
          </c:extLst>
        </c:ser>
        <c:ser>
          <c:idx val="5"/>
          <c:order val="5"/>
          <c:tx>
            <c:strRef>
              <c:f>'First three graphs'!$X$3</c:f>
              <c:strCache>
                <c:ptCount val="1"/>
                <c:pt idx="0">
                  <c:v>SEDG 0.995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'First three graphs'!$R$4:$R$103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'First three graphs'!$X$4:$X$103</c:f>
              <c:numCache>
                <c:formatCode>General</c:formatCode>
                <c:ptCount val="100"/>
                <c:pt idx="0">
                  <c:v>56767.73386655681</c:v>
                </c:pt>
                <c:pt idx="1">
                  <c:v>80281.699139271106</c:v>
                </c:pt>
                <c:pt idx="2">
                  <c:v>98324.599287424819</c:v>
                </c:pt>
                <c:pt idx="3">
                  <c:v>113535.46773311362</c:v>
                </c:pt>
                <c:pt idx="4">
                  <c:v>126936.51185423801</c:v>
                </c:pt>
                <c:pt idx="5">
                  <c:v>139051.98182717615</c:v>
                </c:pt>
                <c:pt idx="6">
                  <c:v>150193.30630360843</c:v>
                </c:pt>
                <c:pt idx="7">
                  <c:v>160563.39827854221</c:v>
                </c:pt>
                <c:pt idx="8">
                  <c:v>170303.20159967043</c:v>
                </c:pt>
                <c:pt idx="9">
                  <c:v>179515.33662459653</c:v>
                </c:pt>
                <c:pt idx="10">
                  <c:v>188277.27343412011</c:v>
                </c:pt>
                <c:pt idx="11">
                  <c:v>196649.19857484964</c:v>
                </c:pt>
                <c:pt idx="12">
                  <c:v>204678.9752477642</c:v>
                </c:pt>
                <c:pt idx="13">
                  <c:v>212405.41075221953</c:v>
                </c:pt>
                <c:pt idx="14">
                  <c:v>219860.48786710933</c:v>
                </c:pt>
                <c:pt idx="15">
                  <c:v>227070.93546622724</c:v>
                </c:pt>
                <c:pt idx="16">
                  <c:v>234059.36285876654</c:v>
                </c:pt>
                <c:pt idx="17">
                  <c:v>240845.09741781329</c:v>
                </c:pt>
                <c:pt idx="18">
                  <c:v>247444.81517813265</c:v>
                </c:pt>
                <c:pt idx="19">
                  <c:v>253873.02370847602</c:v>
                </c:pt>
                <c:pt idx="20">
                  <c:v>260142.43747460475</c:v>
                </c:pt>
                <c:pt idx="21">
                  <c:v>266264.27357716032</c:v>
                </c:pt>
                <c:pt idx="22">
                  <c:v>272248.48758426018</c:v>
                </c:pt>
                <c:pt idx="23">
                  <c:v>278103.96365435229</c:v>
                </c:pt>
                <c:pt idx="24">
                  <c:v>283838.66933278402</c:v>
                </c:pt>
                <c:pt idx="25">
                  <c:v>289459.78272801515</c:v>
                </c:pt>
                <c:pt idx="26">
                  <c:v>294973.79786227451</c:v>
                </c:pt>
                <c:pt idx="27">
                  <c:v>300386.61260721687</c:v>
                </c:pt>
                <c:pt idx="28">
                  <c:v>305703.60259895923</c:v>
                </c:pt>
                <c:pt idx="29">
                  <c:v>310929.68377163127</c:v>
                </c:pt>
                <c:pt idx="30">
                  <c:v>316069.36558083392</c:v>
                </c:pt>
                <c:pt idx="31">
                  <c:v>321126.79655708442</c:v>
                </c:pt>
                <c:pt idx="32">
                  <c:v>326105.80349843408</c:v>
                </c:pt>
                <c:pt idx="33">
                  <c:v>331009.92535527318</c:v>
                </c:pt>
                <c:pt idx="34">
                  <c:v>335842.44266031618</c:v>
                </c:pt>
                <c:pt idx="35">
                  <c:v>340606.40319934086</c:v>
                </c:pt>
                <c:pt idx="36">
                  <c:v>345304.64449343306</c:v>
                </c:pt>
                <c:pt idx="37">
                  <c:v>349939.81356381899</c:v>
                </c:pt>
                <c:pt idx="38">
                  <c:v>354514.38437026023</c:v>
                </c:pt>
                <c:pt idx="39">
                  <c:v>359030.67324919306</c:v>
                </c:pt>
                <c:pt idx="40">
                  <c:v>363490.85262508749</c:v>
                </c:pt>
                <c:pt idx="41">
                  <c:v>367896.96322538098</c:v>
                </c:pt>
                <c:pt idx="42">
                  <c:v>372250.924993883</c:v>
                </c:pt>
                <c:pt idx="43">
                  <c:v>376554.54686824023</c:v>
                </c:pt>
                <c:pt idx="44">
                  <c:v>380809.53556271404</c:v>
                </c:pt>
                <c:pt idx="45">
                  <c:v>385017.50347722397</c:v>
                </c:pt>
                <c:pt idx="46">
                  <c:v>389179.97583660233</c:v>
                </c:pt>
                <c:pt idx="47">
                  <c:v>393298.39714969927</c:v>
                </c:pt>
                <c:pt idx="48">
                  <c:v>397374.1370658977</c:v>
                </c:pt>
                <c:pt idx="49">
                  <c:v>401408.49569635547</c:v>
                </c:pt>
                <c:pt idx="50">
                  <c:v>405402.70845858357</c:v>
                </c:pt>
                <c:pt idx="51">
                  <c:v>409357.95049552841</c:v>
                </c:pt>
                <c:pt idx="52">
                  <c:v>413275.34071396478</c:v>
                </c:pt>
                <c:pt idx="53">
                  <c:v>417155.94548152841</c:v>
                </c:pt>
                <c:pt idx="54">
                  <c:v>421000.78201700788</c:v>
                </c:pt>
                <c:pt idx="55">
                  <c:v>424810.82150443905</c:v>
                </c:pt>
                <c:pt idx="56">
                  <c:v>428586.99195801618</c:v>
                </c:pt>
                <c:pt idx="57">
                  <c:v>432330.18086176319</c:v>
                </c:pt>
                <c:pt idx="58">
                  <c:v>436041.23760523961</c:v>
                </c:pt>
                <c:pt idx="59">
                  <c:v>439720.97573421866</c:v>
                </c:pt>
                <c:pt idx="60">
                  <c:v>443370.17503323051</c:v>
                </c:pt>
                <c:pt idx="61">
                  <c:v>446989.58345507528</c:v>
                </c:pt>
                <c:pt idx="62">
                  <c:v>450579.91891082533</c:v>
                </c:pt>
                <c:pt idx="63">
                  <c:v>454141.87093245448</c:v>
                </c:pt>
                <c:pt idx="64">
                  <c:v>457676.10221899766</c:v>
                </c:pt>
                <c:pt idx="65">
                  <c:v>461183.250076061</c:v>
                </c:pt>
                <c:pt idx="66">
                  <c:v>464663.92775753839</c:v>
                </c:pt>
                <c:pt idx="67">
                  <c:v>468118.72571753309</c:v>
                </c:pt>
                <c:pt idx="68">
                  <c:v>471548.21277972334</c:v>
                </c:pt>
                <c:pt idx="69">
                  <c:v>474952.93723072758</c:v>
                </c:pt>
                <c:pt idx="70">
                  <c:v>478333.42784342362</c:v>
                </c:pt>
                <c:pt idx="71">
                  <c:v>481690.19483562658</c:v>
                </c:pt>
                <c:pt idx="72">
                  <c:v>485023.73076905019</c:v>
                </c:pt>
                <c:pt idx="73">
                  <c:v>488334.51139303308</c:v>
                </c:pt>
                <c:pt idx="74">
                  <c:v>491622.99643712421</c:v>
                </c:pt>
                <c:pt idx="75">
                  <c:v>494889.63035626529</c:v>
                </c:pt>
                <c:pt idx="76">
                  <c:v>498134.84303198976</c:v>
                </c:pt>
                <c:pt idx="77">
                  <c:v>501359.05043277051</c:v>
                </c:pt>
                <c:pt idx="78">
                  <c:v>504562.65523638728</c:v>
                </c:pt>
                <c:pt idx="79">
                  <c:v>507746.04741695203</c:v>
                </c:pt>
                <c:pt idx="80">
                  <c:v>510909.60479901126</c:v>
                </c:pt>
                <c:pt idx="81">
                  <c:v>514053.6935809587</c:v>
                </c:pt>
                <c:pt idx="82">
                  <c:v>517178.66882980621</c:v>
                </c:pt>
                <c:pt idx="83">
                  <c:v>520284.87494920951</c:v>
                </c:pt>
                <c:pt idx="84">
                  <c:v>523372.64612249151</c:v>
                </c:pt>
                <c:pt idx="85">
                  <c:v>526442.30673227913</c:v>
                </c:pt>
                <c:pt idx="86">
                  <c:v>529494.17175824253</c:v>
                </c:pt>
                <c:pt idx="87">
                  <c:v>532528.54715432064</c:v>
                </c:pt>
                <c:pt idx="88">
                  <c:v>535545.73020670761</c:v>
                </c:pt>
                <c:pt idx="89">
                  <c:v>538546.00987378962</c:v>
                </c:pt>
                <c:pt idx="90">
                  <c:v>541529.66710912902</c:v>
                </c:pt>
                <c:pt idx="91">
                  <c:v>544496.97516852035</c:v>
                </c:pt>
                <c:pt idx="92">
                  <c:v>547448.19990206615</c:v>
                </c:pt>
                <c:pt idx="93">
                  <c:v>550383.60003215657</c:v>
                </c:pt>
                <c:pt idx="94">
                  <c:v>553303.42741817608</c:v>
                </c:pt>
                <c:pt idx="95">
                  <c:v>556207.92730870459</c:v>
                </c:pt>
                <c:pt idx="96">
                  <c:v>559097.33858192293</c:v>
                </c:pt>
                <c:pt idx="97">
                  <c:v>561971.89397489768</c:v>
                </c:pt>
                <c:pt idx="98">
                  <c:v>564831.82030236034</c:v>
                </c:pt>
                <c:pt idx="99">
                  <c:v>567677.33866556804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40D-48CE-97A9-677BDA8DEDD5}"/>
            </c:ext>
          </c:extLst>
        </c:ser>
        <c:ser>
          <c:idx val="6"/>
          <c:order val="6"/>
          <c:tx>
            <c:strRef>
              <c:f>'First three graphs'!$Y$3</c:f>
              <c:strCache>
                <c:ptCount val="1"/>
                <c:pt idx="0">
                  <c:v>PF 0.95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'First three graphs'!$R$4:$R$103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'First three graphs'!$Y$4:$Y$103</c:f>
              <c:numCache>
                <c:formatCode>General</c:formatCode>
                <c:ptCount val="100"/>
                <c:pt idx="0">
                  <c:v>80820.660803933133</c:v>
                </c:pt>
                <c:pt idx="1">
                  <c:v>114297.67462887785</c:v>
                </c:pt>
                <c:pt idx="2">
                  <c:v>139985.49081370267</c:v>
                </c:pt>
                <c:pt idx="3">
                  <c:v>161641.32160786627</c:v>
                </c:pt>
                <c:pt idx="4">
                  <c:v>180720.49154404731</c:v>
                </c:pt>
                <c:pt idx="5">
                  <c:v>197969.37964419261</c:v>
                </c:pt>
                <c:pt idx="6">
                  <c:v>213831.36928311264</c:v>
                </c:pt>
                <c:pt idx="7">
                  <c:v>228595.3492577557</c:v>
                </c:pt>
                <c:pt idx="8">
                  <c:v>242461.9824117994</c:v>
                </c:pt>
                <c:pt idx="9">
                  <c:v>255577.37014032394</c:v>
                </c:pt>
                <c:pt idx="10">
                  <c:v>268051.80719522963</c:v>
                </c:pt>
                <c:pt idx="11">
                  <c:v>279970.98162740533</c:v>
                </c:pt>
                <c:pt idx="12">
                  <c:v>291403.03664546355</c:v>
                </c:pt>
                <c:pt idx="13">
                  <c:v>302403.22250098758</c:v>
                </c:pt>
                <c:pt idx="14">
                  <c:v>313017.07332311157</c:v>
                </c:pt>
                <c:pt idx="15">
                  <c:v>323282.64321573253</c:v>
                </c:pt>
                <c:pt idx="16">
                  <c:v>333232.12122683343</c:v>
                </c:pt>
                <c:pt idx="17">
                  <c:v>342893.02388663351</c:v>
                </c:pt>
                <c:pt idx="18">
                  <c:v>352289.09299452323</c:v>
                </c:pt>
                <c:pt idx="19">
                  <c:v>361440.98308809462</c:v>
                </c:pt>
                <c:pt idx="20">
                  <c:v>370366.7958503741</c:v>
                </c:pt>
                <c:pt idx="21">
                  <c:v>379082.5011541117</c:v>
                </c:pt>
                <c:pt idx="22">
                  <c:v>387602.27281846723</c:v>
                </c:pt>
                <c:pt idx="23">
                  <c:v>395938.75928838522</c:v>
                </c:pt>
                <c:pt idx="24">
                  <c:v>404103.30401966564</c:v>
                </c:pt>
                <c:pt idx="25">
                  <c:v>412106.12654071854</c:v>
                </c:pt>
                <c:pt idx="26">
                  <c:v>419956.47244110808</c:v>
                </c:pt>
                <c:pt idx="27">
                  <c:v>427662.73856622528</c:v>
                </c:pt>
                <c:pt idx="28">
                  <c:v>435232.57825069572</c:v>
                </c:pt>
                <c:pt idx="29">
                  <c:v>442672.9903478779</c:v>
                </c:pt>
                <c:pt idx="30">
                  <c:v>449990.39500451204</c:v>
                </c:pt>
                <c:pt idx="31">
                  <c:v>457190.69851551141</c:v>
                </c:pt>
                <c:pt idx="32">
                  <c:v>464279.3491227944</c:v>
                </c:pt>
                <c:pt idx="33">
                  <c:v>471261.38525734318</c:v>
                </c:pt>
                <c:pt idx="34">
                  <c:v>478141.47743890039</c:v>
                </c:pt>
                <c:pt idx="35">
                  <c:v>484923.9648235988</c:v>
                </c:pt>
                <c:pt idx="36">
                  <c:v>491612.88721210643</c:v>
                </c:pt>
                <c:pt idx="37">
                  <c:v>498212.01318897126</c:v>
                </c:pt>
                <c:pt idx="38">
                  <c:v>504724.86494979827</c:v>
                </c:pt>
                <c:pt idx="39">
                  <c:v>511154.74028064788</c:v>
                </c:pt>
                <c:pt idx="40">
                  <c:v>517504.73207900324</c:v>
                </c:pt>
                <c:pt idx="41">
                  <c:v>523777.74574426631</c:v>
                </c:pt>
                <c:pt idx="42">
                  <c:v>529976.51471525582</c:v>
                </c:pt>
                <c:pt idx="43">
                  <c:v>536103.61439045926</c:v>
                </c:pt>
                <c:pt idx="44">
                  <c:v>542161.47463214188</c:v>
                </c:pt>
                <c:pt idx="45">
                  <c:v>548152.39102651284</c:v>
                </c:pt>
                <c:pt idx="46">
                  <c:v>554078.53504793649</c:v>
                </c:pt>
                <c:pt idx="47">
                  <c:v>559941.96325481066</c:v>
                </c:pt>
                <c:pt idx="48">
                  <c:v>565744.6256275319</c:v>
                </c:pt>
                <c:pt idx="49">
                  <c:v>571488.37314438925</c:v>
                </c:pt>
                <c:pt idx="50">
                  <c:v>577174.96467882686</c:v>
                </c:pt>
                <c:pt idx="51">
                  <c:v>582806.0732909271</c:v>
                </c:pt>
                <c:pt idx="52">
                  <c:v>588383.29197689996</c:v>
                </c:pt>
                <c:pt idx="53">
                  <c:v>593908.13893257792</c:v>
                </c:pt>
                <c:pt idx="54">
                  <c:v>599382.0623802006</c:v>
                </c:pt>
                <c:pt idx="55">
                  <c:v>604806.44500197517</c:v>
                </c:pt>
                <c:pt idx="56">
                  <c:v>610182.6080188714</c:v>
                </c:pt>
                <c:pt idx="57">
                  <c:v>615511.81494874333</c:v>
                </c:pt>
                <c:pt idx="58">
                  <c:v>620795.27507406205</c:v>
                </c:pt>
                <c:pt idx="59">
                  <c:v>626034.14664622315</c:v>
                </c:pt>
                <c:pt idx="60">
                  <c:v>631229.53985048039</c:v>
                </c:pt>
                <c:pt idx="61">
                  <c:v>636382.51955300721</c:v>
                </c:pt>
                <c:pt idx="62">
                  <c:v>641494.10784933798</c:v>
                </c:pt>
                <c:pt idx="63">
                  <c:v>646565.28643146507</c:v>
                </c:pt>
                <c:pt idx="64">
                  <c:v>651596.99878911872</c:v>
                </c:pt>
                <c:pt idx="65">
                  <c:v>656590.15225920908</c:v>
                </c:pt>
                <c:pt idx="66">
                  <c:v>661545.61993603711</c:v>
                </c:pt>
                <c:pt idx="67">
                  <c:v>666464.24245366687</c:v>
                </c:pt>
                <c:pt idx="68">
                  <c:v>671346.82965075853</c:v>
                </c:pt>
                <c:pt idx="69">
                  <c:v>676194.16212720214</c:v>
                </c:pt>
                <c:pt idx="70">
                  <c:v>681006.99270102452</c:v>
                </c:pt>
                <c:pt idx="71">
                  <c:v>685786.04777326703</c:v>
                </c:pt>
                <c:pt idx="72">
                  <c:v>690532.0286078424</c:v>
                </c:pt>
                <c:pt idx="73">
                  <c:v>695245.61253275559</c:v>
                </c:pt>
                <c:pt idx="74">
                  <c:v>699927.45406851347</c:v>
                </c:pt>
                <c:pt idx="75">
                  <c:v>704578.18598904647</c:v>
                </c:pt>
                <c:pt idx="76">
                  <c:v>709198.42032001156</c:v>
                </c:pt>
                <c:pt idx="77">
                  <c:v>713788.74927893362</c:v>
                </c:pt>
                <c:pt idx="78">
                  <c:v>718349.74616127531</c:v>
                </c:pt>
                <c:pt idx="79">
                  <c:v>722881.96617618925</c:v>
                </c:pt>
                <c:pt idx="80">
                  <c:v>727385.94723539811</c:v>
                </c:pt>
                <c:pt idx="81">
                  <c:v>731862.2106983813</c:v>
                </c:pt>
                <c:pt idx="82">
                  <c:v>736311.26207678393</c:v>
                </c:pt>
                <c:pt idx="83">
                  <c:v>740733.59170074819</c:v>
                </c:pt>
                <c:pt idx="84">
                  <c:v>745129.67534965021</c:v>
                </c:pt>
                <c:pt idx="85">
                  <c:v>749499.97484953888</c:v>
                </c:pt>
                <c:pt idx="86">
                  <c:v>753844.93863940216</c:v>
                </c:pt>
                <c:pt idx="87">
                  <c:v>758165.0023082234</c:v>
                </c:pt>
                <c:pt idx="88">
                  <c:v>762460.58910465182</c:v>
                </c:pt>
                <c:pt idx="89">
                  <c:v>766732.11042097176</c:v>
                </c:pt>
                <c:pt idx="90">
                  <c:v>770979.96625293803</c:v>
                </c:pt>
                <c:pt idx="91">
                  <c:v>775204.54563693446</c:v>
                </c:pt>
                <c:pt idx="92">
                  <c:v>779406.22706580313</c:v>
                </c:pt>
                <c:pt idx="93">
                  <c:v>783585.37888460816</c:v>
                </c:pt>
                <c:pt idx="94">
                  <c:v>787742.35966749885</c:v>
                </c:pt>
                <c:pt idx="95">
                  <c:v>791877.51857677044</c:v>
                </c:pt>
                <c:pt idx="96">
                  <c:v>795991.19570513337</c:v>
                </c:pt>
                <c:pt idx="97">
                  <c:v>800083.72240214492</c:v>
                </c:pt>
                <c:pt idx="98">
                  <c:v>804155.42158568883</c:v>
                </c:pt>
                <c:pt idx="99">
                  <c:v>808206.60803933127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40D-48CE-97A9-677BDA8DEDD5}"/>
            </c:ext>
          </c:extLst>
        </c:ser>
        <c:ser>
          <c:idx val="7"/>
          <c:order val="7"/>
          <c:tx>
            <c:strRef>
              <c:f>'First three graphs'!$Z$3</c:f>
              <c:strCache>
                <c:ptCount val="1"/>
                <c:pt idx="0">
                  <c:v>PF 0.99</c:v>
                </c:pt>
              </c:strCache>
            </c:strRef>
          </c:tx>
          <c:spPr>
            <a:ln w="28575" cap="rnd">
              <a:solidFill>
                <a:srgbClr val="92D050"/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'First three graphs'!$R$4:$R$103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'First three graphs'!$Z$4:$Z$103</c:f>
              <c:numCache>
                <c:formatCode>General</c:formatCode>
                <c:ptCount val="100"/>
                <c:pt idx="0">
                  <c:v>106386.38003783036</c:v>
                </c:pt>
                <c:pt idx="1">
                  <c:v>150453.06150127802</c:v>
                </c:pt>
                <c:pt idx="2">
                  <c:v>184266.61545885351</c:v>
                </c:pt>
                <c:pt idx="3">
                  <c:v>212772.76007566071</c:v>
                </c:pt>
                <c:pt idx="4">
                  <c:v>237887.17764471535</c:v>
                </c:pt>
                <c:pt idx="5">
                  <c:v>260592.34667449846</c:v>
                </c:pt>
                <c:pt idx="6">
                  <c:v>281471.90446450544</c:v>
                </c:pt>
                <c:pt idx="7">
                  <c:v>300906.12300255604</c:v>
                </c:pt>
                <c:pt idx="8">
                  <c:v>319159.1401134911</c:v>
                </c:pt>
                <c:pt idx="9">
                  <c:v>336423.2729398142</c:v>
                </c:pt>
                <c:pt idx="10">
                  <c:v>352843.70538963896</c:v>
                </c:pt>
                <c:pt idx="11">
                  <c:v>368533.23091770703</c:v>
                </c:pt>
                <c:pt idx="12">
                  <c:v>383581.54823739588</c:v>
                </c:pt>
                <c:pt idx="13">
                  <c:v>398061.38472068775</c:v>
                </c:pt>
                <c:pt idx="14">
                  <c:v>412032.67814981018</c:v>
                </c:pt>
                <c:pt idx="15">
                  <c:v>425545.52015132143</c:v>
                </c:pt>
                <c:pt idx="16">
                  <c:v>438642.28202307672</c:v>
                </c:pt>
                <c:pt idx="17">
                  <c:v>451359.18450383394</c:v>
                </c:pt>
                <c:pt idx="18">
                  <c:v>463727.47955401533</c:v>
                </c:pt>
                <c:pt idx="19">
                  <c:v>475774.35528943071</c:v>
                </c:pt>
                <c:pt idx="20">
                  <c:v>487523.63943569653</c:v>
                </c:pt>
                <c:pt idx="21">
                  <c:v>498996.35356000421</c:v>
                </c:pt>
                <c:pt idx="22">
                  <c:v>510211.1550365538</c:v>
                </c:pt>
                <c:pt idx="23">
                  <c:v>521184.69334899692</c:v>
                </c:pt>
                <c:pt idx="24">
                  <c:v>531931.90018915175</c:v>
                </c:pt>
                <c:pt idx="25">
                  <c:v>542466.22779339482</c:v>
                </c:pt>
                <c:pt idx="26">
                  <c:v>552799.84637656063</c:v>
                </c:pt>
                <c:pt idx="27">
                  <c:v>562943.80892901088</c:v>
                </c:pt>
                <c:pt idx="28">
                  <c:v>572908.1897381607</c:v>
                </c:pt>
                <c:pt idx="29">
                  <c:v>582702.20158036996</c:v>
                </c:pt>
                <c:pt idx="30">
                  <c:v>592334.29546512302</c:v>
                </c:pt>
                <c:pt idx="31">
                  <c:v>601812.24600511207</c:v>
                </c:pt>
                <c:pt idx="32">
                  <c:v>611143.22486571921</c:v>
                </c:pt>
                <c:pt idx="33">
                  <c:v>620333.86426731909</c:v>
                </c:pt>
                <c:pt idx="34">
                  <c:v>629390.3121389607</c:v>
                </c:pt>
                <c:pt idx="35">
                  <c:v>638318.2802269822</c:v>
                </c:pt>
                <c:pt idx="36">
                  <c:v>647123.08622818091</c:v>
                </c:pt>
                <c:pt idx="37">
                  <c:v>655809.69083038054</c:v>
                </c:pt>
                <c:pt idx="38">
                  <c:v>664382.73039310181</c:v>
                </c:pt>
                <c:pt idx="39">
                  <c:v>672846.54587962839</c:v>
                </c:pt>
                <c:pt idx="40">
                  <c:v>681205.20855297369</c:v>
                </c:pt>
                <c:pt idx="41">
                  <c:v>689462.54286745272</c:v>
                </c:pt>
                <c:pt idx="42">
                  <c:v>697622.14692110207</c:v>
                </c:pt>
                <c:pt idx="43">
                  <c:v>705687.41077927791</c:v>
                </c:pt>
                <c:pt idx="44">
                  <c:v>713661.532934146</c:v>
                </c:pt>
                <c:pt idx="45">
                  <c:v>721547.53512673627</c:v>
                </c:pt>
                <c:pt idx="46">
                  <c:v>729348.27572636551</c:v>
                </c:pt>
                <c:pt idx="47">
                  <c:v>737066.46183541405</c:v>
                </c:pt>
                <c:pt idx="48">
                  <c:v>744704.66026481253</c:v>
                </c:pt>
                <c:pt idx="49">
                  <c:v>752265.30750639003</c:v>
                </c:pt>
                <c:pt idx="50">
                  <c:v>759750.71881192527</c:v>
                </c:pt>
                <c:pt idx="51">
                  <c:v>767163.09647479176</c:v>
                </c:pt>
                <c:pt idx="52">
                  <c:v>774504.53739816428</c:v>
                </c:pt>
                <c:pt idx="53">
                  <c:v>781777.04002349544</c:v>
                </c:pt>
                <c:pt idx="54">
                  <c:v>788982.51068414166</c:v>
                </c:pt>
                <c:pt idx="55">
                  <c:v>796122.76944137551</c:v>
                </c:pt>
                <c:pt idx="56">
                  <c:v>803199.55545341235</c:v>
                </c:pt>
                <c:pt idx="57">
                  <c:v>810214.53192232538</c:v>
                </c:pt>
                <c:pt idx="58">
                  <c:v>817169.29065871437</c:v>
                </c:pt>
                <c:pt idx="59">
                  <c:v>824065.35629962035</c:v>
                </c:pt>
                <c:pt idx="60">
                  <c:v>830904.19021134661</c:v>
                </c:pt>
                <c:pt idx="61">
                  <c:v>837687.19410548918</c:v>
                </c:pt>
                <c:pt idx="62">
                  <c:v>844415.71339351637</c:v>
                </c:pt>
                <c:pt idx="63">
                  <c:v>851091.04030264285</c:v>
                </c:pt>
                <c:pt idx="64">
                  <c:v>857714.41677343182</c:v>
                </c:pt>
                <c:pt idx="65">
                  <c:v>864287.03715753031</c:v>
                </c:pt>
                <c:pt idx="66">
                  <c:v>870810.05073213053</c:v>
                </c:pt>
                <c:pt idx="67">
                  <c:v>877284.56404615345</c:v>
                </c:pt>
                <c:pt idx="68">
                  <c:v>883711.64311171276</c:v>
                </c:pt>
                <c:pt idx="69">
                  <c:v>890092.3154531538</c:v>
                </c:pt>
                <c:pt idx="70">
                  <c:v>896427.57202481804</c:v>
                </c:pt>
                <c:pt idx="71">
                  <c:v>902718.36900766788</c:v>
                </c:pt>
                <c:pt idx="72">
                  <c:v>908965.62949399662</c:v>
                </c:pt>
                <c:pt idx="73">
                  <c:v>915170.24506862729</c:v>
                </c:pt>
                <c:pt idx="74">
                  <c:v>921333.07729426783</c:v>
                </c:pt>
                <c:pt idx="75">
                  <c:v>927454.95910803066</c:v>
                </c:pt>
                <c:pt idx="76">
                  <c:v>933536.69613552548</c:v>
                </c:pt>
                <c:pt idx="77">
                  <c:v>939579.06792839221</c:v>
                </c:pt>
                <c:pt idx="78">
                  <c:v>945582.8291306583</c:v>
                </c:pt>
                <c:pt idx="79">
                  <c:v>951548.71057886141</c:v>
                </c:pt>
                <c:pt idx="80">
                  <c:v>957477.42034047318</c:v>
                </c:pt>
                <c:pt idx="81">
                  <c:v>963369.64469480806</c:v>
                </c:pt>
                <c:pt idx="82">
                  <c:v>969226.04906025645</c:v>
                </c:pt>
                <c:pt idx="83">
                  <c:v>975047.27887139306</c:v>
                </c:pt>
                <c:pt idx="84">
                  <c:v>980833.96040923346</c:v>
                </c:pt>
                <c:pt idx="85">
                  <c:v>986586.70158765849</c:v>
                </c:pt>
                <c:pt idx="86">
                  <c:v>992306.09269880492</c:v>
                </c:pt>
                <c:pt idx="87">
                  <c:v>997992.70712000842</c:v>
                </c:pt>
                <c:pt idx="88">
                  <c:v>1003647.1019846948</c:v>
                </c:pt>
                <c:pt idx="89">
                  <c:v>1009269.8188194424</c:v>
                </c:pt>
                <c:pt idx="90">
                  <c:v>1014861.3841492756</c:v>
                </c:pt>
                <c:pt idx="91">
                  <c:v>1020422.3100731076</c:v>
                </c:pt>
                <c:pt idx="92">
                  <c:v>1025953.0948111083</c:v>
                </c:pt>
                <c:pt idx="93">
                  <c:v>1031454.2232256577</c:v>
                </c:pt>
                <c:pt idx="94">
                  <c:v>1036926.167317422</c:v>
                </c:pt>
                <c:pt idx="95">
                  <c:v>1042369.3866979938</c:v>
                </c:pt>
                <c:pt idx="96">
                  <c:v>1047784.3290404307</c:v>
                </c:pt>
                <c:pt idx="97">
                  <c:v>1053171.4305089458</c:v>
                </c:pt>
                <c:pt idx="98">
                  <c:v>1058531.1161689169</c:v>
                </c:pt>
                <c:pt idx="99">
                  <c:v>1063863.8003783035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40D-48CE-97A9-677BDA8DEDD5}"/>
            </c:ext>
          </c:extLst>
        </c:ser>
        <c:ser>
          <c:idx val="8"/>
          <c:order val="8"/>
          <c:tx>
            <c:strRef>
              <c:f>'First three graphs'!$AA$3</c:f>
              <c:strCache>
                <c:ptCount val="1"/>
                <c:pt idx="0">
                  <c:v>PF 0.995</c:v>
                </c:pt>
              </c:strCache>
            </c:strRef>
          </c:tx>
          <c:spPr>
            <a:ln w="28575" cap="rnd">
              <a:solidFill>
                <a:srgbClr val="92D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'First three graphs'!$R$4:$R$103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'First three graphs'!$AA$4:$AA$103</c:f>
              <c:numCache>
                <c:formatCode>General</c:formatCode>
                <c:ptCount val="100"/>
                <c:pt idx="0">
                  <c:v>115458.08686276161</c:v>
                </c:pt>
                <c:pt idx="1">
                  <c:v>163282.39232696837</c:v>
                </c:pt>
                <c:pt idx="2">
                  <c:v>199979.2725910038</c:v>
                </c:pt>
                <c:pt idx="3">
                  <c:v>230916.17372552323</c:v>
                </c:pt>
                <c:pt idx="4">
                  <c:v>258172.13077721043</c:v>
                </c:pt>
                <c:pt idx="5">
                  <c:v>282813.39949170372</c:v>
                </c:pt>
                <c:pt idx="6">
                  <c:v>305473.38469016092</c:v>
                </c:pt>
                <c:pt idx="7">
                  <c:v>326564.78465393675</c:v>
                </c:pt>
                <c:pt idx="8">
                  <c:v>346374.26058828487</c:v>
                </c:pt>
                <c:pt idx="9">
                  <c:v>365110.52877189132</c:v>
                </c:pt>
                <c:pt idx="10">
                  <c:v>382931.1531360423</c:v>
                </c:pt>
                <c:pt idx="11">
                  <c:v>399958.5451820076</c:v>
                </c:pt>
                <c:pt idx="12">
                  <c:v>416290.05235066218</c:v>
                </c:pt>
                <c:pt idx="13">
                  <c:v>432004.60357283935</c:v>
                </c:pt>
                <c:pt idx="14">
                  <c:v>447167.24760444509</c:v>
                </c:pt>
                <c:pt idx="15">
                  <c:v>461832.34745104646</c:v>
                </c:pt>
                <c:pt idx="16">
                  <c:v>476045.88746690494</c:v>
                </c:pt>
                <c:pt idx="17">
                  <c:v>489847.176980905</c:v>
                </c:pt>
                <c:pt idx="18">
                  <c:v>503270.13284931891</c:v>
                </c:pt>
                <c:pt idx="19">
                  <c:v>516344.26155442087</c:v>
                </c:pt>
                <c:pt idx="20">
                  <c:v>529095.42264339153</c:v>
                </c:pt>
                <c:pt idx="21">
                  <c:v>541546.43022015959</c:v>
                </c:pt>
                <c:pt idx="22">
                  <c:v>553717.53259781026</c:v>
                </c:pt>
                <c:pt idx="23">
                  <c:v>565626.79898340744</c:v>
                </c:pt>
                <c:pt idx="24">
                  <c:v>577290.43431380799</c:v>
                </c:pt>
                <c:pt idx="25">
                  <c:v>588723.03791531222</c:v>
                </c:pt>
                <c:pt idx="26">
                  <c:v>599937.81777301151</c:v>
                </c:pt>
                <c:pt idx="27">
                  <c:v>610946.76938032184</c:v>
                </c:pt>
                <c:pt idx="28">
                  <c:v>621760.82607242244</c:v>
                </c:pt>
                <c:pt idx="29">
                  <c:v>632389.98621125415</c:v>
                </c:pt>
                <c:pt idx="30">
                  <c:v>642843.42143501726</c:v>
                </c:pt>
                <c:pt idx="31">
                  <c:v>653129.56930787349</c:v>
                </c:pt>
                <c:pt idx="32">
                  <c:v>663256.21303256345</c:v>
                </c:pt>
                <c:pt idx="33">
                  <c:v>673230.55036763311</c:v>
                </c:pt>
                <c:pt idx="34">
                  <c:v>683059.25348414341</c:v>
                </c:pt>
                <c:pt idx="35">
                  <c:v>692748.52117656975</c:v>
                </c:pt>
                <c:pt idx="36">
                  <c:v>702304.12458872341</c:v>
                </c:pt>
                <c:pt idx="37">
                  <c:v>711731.44741281611</c:v>
                </c:pt>
                <c:pt idx="38">
                  <c:v>721035.5213568547</c:v>
                </c:pt>
                <c:pt idx="39">
                  <c:v>730221.05754378263</c:v>
                </c:pt>
                <c:pt idx="40">
                  <c:v>739292.47439857596</c:v>
                </c:pt>
                <c:pt idx="41">
                  <c:v>748253.922491809</c:v>
                </c:pt>
                <c:pt idx="42">
                  <c:v>757109.30673607974</c:v>
                </c:pt>
                <c:pt idx="43">
                  <c:v>765862.30627208459</c:v>
                </c:pt>
                <c:pt idx="44">
                  <c:v>774516.39233163127</c:v>
                </c:pt>
                <c:pt idx="45">
                  <c:v>783074.8443235897</c:v>
                </c:pt>
                <c:pt idx="46">
                  <c:v>791540.76435419498</c:v>
                </c:pt>
                <c:pt idx="47">
                  <c:v>799917.0903640152</c:v>
                </c:pt>
                <c:pt idx="48">
                  <c:v>808206.60803933127</c:v>
                </c:pt>
                <c:pt idx="49">
                  <c:v>816411.96163484186</c:v>
                </c:pt>
                <c:pt idx="50">
                  <c:v>824535.66382689553</c:v>
                </c:pt>
                <c:pt idx="51">
                  <c:v>832580.10470132437</c:v>
                </c:pt>
                <c:pt idx="52">
                  <c:v>840547.55996699992</c:v>
                </c:pt>
                <c:pt idx="53">
                  <c:v>848440.19847511128</c:v>
                </c:pt>
                <c:pt idx="54">
                  <c:v>856260.08911457227</c:v>
                </c:pt>
                <c:pt idx="55">
                  <c:v>864009.20714567869</c:v>
                </c:pt>
                <c:pt idx="56">
                  <c:v>871689.44002695906</c:v>
                </c:pt>
                <c:pt idx="57">
                  <c:v>879302.59278391895</c:v>
                </c:pt>
                <c:pt idx="58">
                  <c:v>886850.39296294574</c:v>
                </c:pt>
                <c:pt idx="59">
                  <c:v>894334.49520889018</c:v>
                </c:pt>
                <c:pt idx="60">
                  <c:v>901756.48550068622</c:v>
                </c:pt>
                <c:pt idx="61">
                  <c:v>909117.88507572457</c:v>
                </c:pt>
                <c:pt idx="62">
                  <c:v>916420.15407048282</c:v>
                </c:pt>
                <c:pt idx="63">
                  <c:v>923664.69490209292</c:v>
                </c:pt>
                <c:pt idx="64">
                  <c:v>930852.85541302676</c:v>
                </c:pt>
                <c:pt idx="65">
                  <c:v>937985.93179886998</c:v>
                </c:pt>
                <c:pt idx="66">
                  <c:v>945065.17133719579</c:v>
                </c:pt>
                <c:pt idx="67">
                  <c:v>952091.77493380988</c:v>
                </c:pt>
                <c:pt idx="68">
                  <c:v>959066.89950108354</c:v>
                </c:pt>
                <c:pt idx="69">
                  <c:v>965991.66018171725</c:v>
                </c:pt>
                <c:pt idx="70">
                  <c:v>972867.13243003504</c:v>
                </c:pt>
                <c:pt idx="71">
                  <c:v>979694.35396181</c:v>
                </c:pt>
                <c:pt idx="72">
                  <c:v>986474.32658263191</c:v>
                </c:pt>
                <c:pt idx="73">
                  <c:v>993208.01790393644</c:v>
                </c:pt>
                <c:pt idx="74">
                  <c:v>999896.36295501923</c:v>
                </c:pt>
                <c:pt idx="75">
                  <c:v>1006540.2656986378</c:v>
                </c:pt>
                <c:pt idx="76">
                  <c:v>1013140.6004571593</c:v>
                </c:pt>
                <c:pt idx="77">
                  <c:v>1019698.2132556194</c:v>
                </c:pt>
                <c:pt idx="78">
                  <c:v>1026213.923087536</c:v>
                </c:pt>
                <c:pt idx="79">
                  <c:v>1032688.5231088417</c:v>
                </c:pt>
                <c:pt idx="80">
                  <c:v>1039122.7817648544</c:v>
                </c:pt>
                <c:pt idx="81">
                  <c:v>1045517.4438548303</c:v>
                </c:pt>
                <c:pt idx="82">
                  <c:v>1051873.2315382627</c:v>
                </c:pt>
                <c:pt idx="83">
                  <c:v>1058190.8452867831</c:v>
                </c:pt>
                <c:pt idx="84">
                  <c:v>1064470.9647852145</c:v>
                </c:pt>
                <c:pt idx="85">
                  <c:v>1070714.2497850556</c:v>
                </c:pt>
                <c:pt idx="86">
                  <c:v>1076921.3409134317</c:v>
                </c:pt>
                <c:pt idx="87">
                  <c:v>1083092.8604403192</c:v>
                </c:pt>
                <c:pt idx="88">
                  <c:v>1089229.4130066454</c:v>
                </c:pt>
                <c:pt idx="89">
                  <c:v>1095331.5863156738</c:v>
                </c:pt>
                <c:pt idx="90">
                  <c:v>1101399.9517899114</c:v>
                </c:pt>
                <c:pt idx="91">
                  <c:v>1107435.0651956205</c:v>
                </c:pt>
                <c:pt idx="92">
                  <c:v>1113437.4672368616</c:v>
                </c:pt>
                <c:pt idx="93">
                  <c:v>1119407.6841208688</c:v>
                </c:pt>
                <c:pt idx="94">
                  <c:v>1125346.2280964269</c:v>
                </c:pt>
                <c:pt idx="95">
                  <c:v>1131253.5979668149</c:v>
                </c:pt>
                <c:pt idx="96">
                  <c:v>1137130.2795787619</c:v>
                </c:pt>
                <c:pt idx="97">
                  <c:v>1142976.7462887783</c:v>
                </c:pt>
                <c:pt idx="98">
                  <c:v>1148793.4594081268</c:v>
                </c:pt>
                <c:pt idx="99">
                  <c:v>1154580.868627616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40D-48CE-97A9-677BDA8DE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4369056"/>
        <c:axId val="634373976"/>
      </c:lineChart>
      <c:catAx>
        <c:axId val="634369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Time in</a:t>
                </a:r>
                <a:r>
                  <a:rPr lang="en-US" sz="1200" baseline="0"/>
                  <a:t> Days</a:t>
                </a:r>
                <a:endParaRPr 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373976"/>
        <c:crosses val="autoZero"/>
        <c:auto val="1"/>
        <c:lblAlgn val="ctr"/>
        <c:lblOffset val="100"/>
        <c:noMultiLvlLbl val="0"/>
      </c:catAx>
      <c:valAx>
        <c:axId val="634373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Potential Loss in USD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369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448964126872143"/>
          <c:y val="9.0907545700868952E-2"/>
          <c:w val="0.10863781829129344"/>
          <c:h val="0.799977474618835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 at Risk</a:t>
            </a:r>
            <a:r>
              <a:rPr lang="en-US" baseline="0"/>
              <a:t> Parametric Method, Sigma according to Riskmetrics EWMA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54335562219294"/>
          <c:y val="0.10390696834772527"/>
          <c:w val="0.76490644551396714"/>
          <c:h val="0.78490214882287412"/>
        </c:manualLayout>
      </c:layout>
      <c:lineChart>
        <c:grouping val="standard"/>
        <c:varyColors val="0"/>
        <c:ser>
          <c:idx val="0"/>
          <c:order val="0"/>
          <c:tx>
            <c:strRef>
              <c:f>'First three graphs'!$AL$3</c:f>
              <c:strCache>
                <c:ptCount val="1"/>
                <c:pt idx="0">
                  <c:v>ENPH 0.95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'First three graphs'!$AK$4:$AK$103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'First three graphs'!$AL$4:$AL$103</c:f>
              <c:numCache>
                <c:formatCode>General</c:formatCode>
                <c:ptCount val="100"/>
                <c:pt idx="0">
                  <c:v>7267.6321766280953</c:v>
                </c:pt>
                <c:pt idx="1">
                  <c:v>10277.983990526551</c:v>
                </c:pt>
                <c:pt idx="2">
                  <c:v>12587.908180642251</c:v>
                </c:pt>
                <c:pt idx="3">
                  <c:v>14535.264353256191</c:v>
                </c:pt>
                <c:pt idx="4">
                  <c:v>16250.919582405182</c:v>
                </c:pt>
                <c:pt idx="5">
                  <c:v>17801.990470971501</c:v>
                </c:pt>
                <c:pt idx="6">
                  <c:v>19228.347359648989</c:v>
                </c:pt>
                <c:pt idx="7">
                  <c:v>20555.967981053102</c:v>
                </c:pt>
                <c:pt idx="8">
                  <c:v>21802.896529884289</c:v>
                </c:pt>
                <c:pt idx="9">
                  <c:v>22982.27087447192</c:v>
                </c:pt>
                <c:pt idx="10">
                  <c:v>24104.009044189315</c:v>
                </c:pt>
                <c:pt idx="11">
                  <c:v>25175.816361284502</c:v>
                </c:pt>
                <c:pt idx="12">
                  <c:v>26203.820464044558</c:v>
                </c:pt>
                <c:pt idx="13">
                  <c:v>27192.989618036492</c:v>
                </c:pt>
                <c:pt idx="14">
                  <c:v>28147.418386441776</c:v>
                </c:pt>
                <c:pt idx="15">
                  <c:v>29070.528706512381</c:v>
                </c:pt>
                <c:pt idx="16">
                  <c:v>29965.215112375226</c:v>
                </c:pt>
                <c:pt idx="17">
                  <c:v>30833.951971579649</c:v>
                </c:pt>
                <c:pt idx="18">
                  <c:v>31678.874216746415</c:v>
                </c:pt>
                <c:pt idx="19">
                  <c:v>32501.839164810364</c:v>
                </c:pt>
                <c:pt idx="20">
                  <c:v>33304.474572494917</c:v>
                </c:pt>
                <c:pt idx="21">
                  <c:v>34088.216497856272</c:v>
                </c:pt>
                <c:pt idx="22">
                  <c:v>34854.339492514853</c:v>
                </c:pt>
                <c:pt idx="23">
                  <c:v>35603.980941943002</c:v>
                </c:pt>
                <c:pt idx="24">
                  <c:v>36338.160883140481</c:v>
                </c:pt>
                <c:pt idx="25">
                  <c:v>37057.798286241465</c:v>
                </c:pt>
                <c:pt idx="26">
                  <c:v>37763.724541926749</c:v>
                </c:pt>
                <c:pt idx="27">
                  <c:v>38456.694719297979</c:v>
                </c:pt>
                <c:pt idx="28">
                  <c:v>39137.397028775951</c:v>
                </c:pt>
                <c:pt idx="29">
                  <c:v>39806.460827895775</c:v>
                </c:pt>
                <c:pt idx="30">
                  <c:v>40464.463435186692</c:v>
                </c:pt>
                <c:pt idx="31">
                  <c:v>41111.935962106203</c:v>
                </c:pt>
                <c:pt idx="32">
                  <c:v>41749.368330635625</c:v>
                </c:pt>
                <c:pt idx="33">
                  <c:v>42377.21361134827</c:v>
                </c:pt>
                <c:pt idx="34">
                  <c:v>42995.891791153736</c:v>
                </c:pt>
                <c:pt idx="35">
                  <c:v>43605.793059768577</c:v>
                </c:pt>
                <c:pt idx="36">
                  <c:v>44207.280687983075</c:v>
                </c:pt>
                <c:pt idx="37">
                  <c:v>44800.693558034131</c:v>
                </c:pt>
                <c:pt idx="38">
                  <c:v>45386.348396138252</c:v>
                </c:pt>
                <c:pt idx="39">
                  <c:v>45964.541748943841</c:v>
                </c:pt>
                <c:pt idx="40">
                  <c:v>46535.551738914204</c:v>
                </c:pt>
                <c:pt idx="41">
                  <c:v>47099.639628132209</c:v>
                </c:pt>
                <c:pt idx="42">
                  <c:v>47657.051215477877</c:v>
                </c:pt>
                <c:pt idx="43">
                  <c:v>48208.018088378631</c:v>
                </c:pt>
                <c:pt idx="44">
                  <c:v>48752.758747215543</c:v>
                </c:pt>
                <c:pt idx="45">
                  <c:v>49291.479617870689</c:v>
                </c:pt>
                <c:pt idx="46">
                  <c:v>49824.375965723062</c:v>
                </c:pt>
                <c:pt idx="47">
                  <c:v>50351.632722569004</c:v>
                </c:pt>
                <c:pt idx="48">
                  <c:v>50873.425236396673</c:v>
                </c:pt>
                <c:pt idx="49">
                  <c:v>51389.91995263275</c:v>
                </c:pt>
                <c:pt idx="50">
                  <c:v>51901.275034364633</c:v>
                </c:pt>
                <c:pt idx="51">
                  <c:v>52407.640928089117</c:v>
                </c:pt>
                <c:pt idx="52">
                  <c:v>52909.160880723495</c:v>
                </c:pt>
                <c:pt idx="53">
                  <c:v>53405.971412914514</c:v>
                </c:pt>
                <c:pt idx="54">
                  <c:v>53898.202753077043</c:v>
                </c:pt>
                <c:pt idx="55">
                  <c:v>54385.979236072984</c:v>
                </c:pt>
                <c:pt idx="56">
                  <c:v>54869.419669988507</c:v>
                </c:pt>
                <c:pt idx="57">
                  <c:v>55348.637674075435</c:v>
                </c:pt>
                <c:pt idx="58">
                  <c:v>55823.741990579969</c:v>
                </c:pt>
                <c:pt idx="59">
                  <c:v>56294.836772883551</c:v>
                </c:pt>
                <c:pt idx="60">
                  <c:v>56762.021852118356</c:v>
                </c:pt>
                <c:pt idx="61">
                  <c:v>57225.392984191218</c:v>
                </c:pt>
                <c:pt idx="62">
                  <c:v>57685.042078946964</c:v>
                </c:pt>
                <c:pt idx="63">
                  <c:v>58141.057413024762</c:v>
                </c:pt>
                <c:pt idx="64">
                  <c:v>58593.523827803714</c:v>
                </c:pt>
                <c:pt idx="65">
                  <c:v>59042.522913694687</c:v>
                </c:pt>
                <c:pt idx="66">
                  <c:v>59488.133181912192</c:v>
                </c:pt>
                <c:pt idx="67">
                  <c:v>59930.430224750453</c:v>
                </c:pt>
                <c:pt idx="68">
                  <c:v>60369.486865290171</c:v>
                </c:pt>
                <c:pt idx="69">
                  <c:v>60805.373297375634</c:v>
                </c:pt>
                <c:pt idx="70">
                  <c:v>61238.157216624037</c:v>
                </c:pt>
                <c:pt idx="71">
                  <c:v>61667.903943159297</c:v>
                </c:pt>
                <c:pt idx="72">
                  <c:v>62094.676536700645</c:v>
                </c:pt>
                <c:pt idx="73">
                  <c:v>62518.535904579869</c:v>
                </c:pt>
                <c:pt idx="74">
                  <c:v>62939.540903211258</c:v>
                </c:pt>
                <c:pt idx="75">
                  <c:v>63357.74843349283</c:v>
                </c:pt>
                <c:pt idx="76">
                  <c:v>63773.213530576635</c:v>
                </c:pt>
                <c:pt idx="77">
                  <c:v>64185.989448409091</c:v>
                </c:pt>
                <c:pt idx="78">
                  <c:v>64596.127739408985</c:v>
                </c:pt>
                <c:pt idx="79">
                  <c:v>65003.678329620729</c:v>
                </c:pt>
                <c:pt idx="80">
                  <c:v>65408.689589652859</c:v>
                </c:pt>
                <c:pt idx="81">
                  <c:v>65811.208401687356</c:v>
                </c:pt>
                <c:pt idx="82">
                  <c:v>66211.280222822184</c:v>
                </c:pt>
                <c:pt idx="83">
                  <c:v>66608.949144989834</c:v>
                </c:pt>
                <c:pt idx="84">
                  <c:v>67004.257951674997</c:v>
                </c:pt>
                <c:pt idx="85">
                  <c:v>67397.248171637999</c:v>
                </c:pt>
                <c:pt idx="86">
                  <c:v>67787.960129835177</c:v>
                </c:pt>
                <c:pt idx="87">
                  <c:v>68176.432995712545</c:v>
                </c:pt>
                <c:pt idx="88">
                  <c:v>68562.704829036913</c:v>
                </c:pt>
                <c:pt idx="89">
                  <c:v>68946.812623415753</c:v>
                </c:pt>
                <c:pt idx="90">
                  <c:v>69328.792347647031</c:v>
                </c:pt>
                <c:pt idx="91">
                  <c:v>69708.678985029706</c:v>
                </c:pt>
                <c:pt idx="92">
                  <c:v>70086.506570756421</c:v>
                </c:pt>
                <c:pt idx="93">
                  <c:v>70462.30822750162</c:v>
                </c:pt>
                <c:pt idx="94">
                  <c:v>70836.116199310389</c:v>
                </c:pt>
                <c:pt idx="95">
                  <c:v>71207.961883886004</c:v>
                </c:pt>
                <c:pt idx="96">
                  <c:v>71577.875863368012</c:v>
                </c:pt>
                <c:pt idx="97">
                  <c:v>71945.887933685852</c:v>
                </c:pt>
                <c:pt idx="98">
                  <c:v>72312.02713256795</c:v>
                </c:pt>
                <c:pt idx="99">
                  <c:v>72676.321766280962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0D-48CE-97A9-677BDA8DEDD5}"/>
            </c:ext>
          </c:extLst>
        </c:ser>
        <c:ser>
          <c:idx val="1"/>
          <c:order val="1"/>
          <c:tx>
            <c:strRef>
              <c:f>'First three graphs'!$AM$3</c:f>
              <c:strCache>
                <c:ptCount val="1"/>
                <c:pt idx="0">
                  <c:v>ENPH 0.99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'First three graphs'!$AK$4:$AK$103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'First three graphs'!$AM$4:$AM$103</c:f>
              <c:numCache>
                <c:formatCode>General</c:formatCode>
                <c:ptCount val="100"/>
                <c:pt idx="0">
                  <c:v>9566.577048826779</c:v>
                </c:pt>
                <c:pt idx="1">
                  <c:v>13529.183007938012</c:v>
                </c:pt>
                <c:pt idx="2">
                  <c:v>16569.797503090311</c:v>
                </c:pt>
                <c:pt idx="3">
                  <c:v>19133.154097653558</c:v>
                </c:pt>
                <c:pt idx="4">
                  <c:v>21391.516593166005</c:v>
                </c:pt>
                <c:pt idx="5">
                  <c:v>23433.232354646159</c:v>
                </c:pt>
                <c:pt idx="6">
                  <c:v>25310.783769333873</c:v>
                </c:pt>
                <c:pt idx="7">
                  <c:v>27058.366015876025</c:v>
                </c:pt>
                <c:pt idx="8">
                  <c:v>28699.731146480339</c:v>
                </c:pt>
                <c:pt idx="9">
                  <c:v>30252.172885784472</c:v>
                </c:pt>
                <c:pt idx="10">
                  <c:v>31728.746598983893</c:v>
                </c:pt>
                <c:pt idx="11">
                  <c:v>33139.595006180622</c:v>
                </c:pt>
                <c:pt idx="12">
                  <c:v>34492.784080221922</c:v>
                </c:pt>
                <c:pt idx="13">
                  <c:v>35794.853680884771</c:v>
                </c:pt>
                <c:pt idx="14">
                  <c:v>37051.193590316216</c:v>
                </c:pt>
                <c:pt idx="15">
                  <c:v>38266.308195307116</c:v>
                </c:pt>
                <c:pt idx="16">
                  <c:v>39444.007647922488</c:v>
                </c:pt>
                <c:pt idx="17">
                  <c:v>40587.549023814026</c:v>
                </c:pt>
                <c:pt idx="18">
                  <c:v>41699.74259143151</c:v>
                </c:pt>
                <c:pt idx="19">
                  <c:v>42783.03318633201</c:v>
                </c:pt>
                <c:pt idx="20">
                  <c:v>43839.56346787596</c:v>
                </c:pt>
                <c:pt idx="21">
                  <c:v>44871.223757382242</c:v>
                </c:pt>
                <c:pt idx="22">
                  <c:v>45879.691780963425</c:v>
                </c:pt>
                <c:pt idx="23">
                  <c:v>46866.464709292319</c:v>
                </c:pt>
                <c:pt idx="24">
                  <c:v>47832.885244133904</c:v>
                </c:pt>
                <c:pt idx="25">
                  <c:v>48780.163050256626</c:v>
                </c:pt>
                <c:pt idx="26">
                  <c:v>49709.392509270932</c:v>
                </c:pt>
                <c:pt idx="27">
                  <c:v>50621.567538667747</c:v>
                </c:pt>
                <c:pt idx="28">
                  <c:v>51517.594048082632</c:v>
                </c:pt>
                <c:pt idx="29">
                  <c:v>52398.300477536279</c:v>
                </c:pt>
                <c:pt idx="30">
                  <c:v>53264.446766725341</c:v>
                </c:pt>
                <c:pt idx="31">
                  <c:v>54116.73203175205</c:v>
                </c:pt>
                <c:pt idx="32">
                  <c:v>54955.801169918326</c:v>
                </c:pt>
                <c:pt idx="33">
                  <c:v>55782.250570040072</c:v>
                </c:pt>
                <c:pt idx="34">
                  <c:v>56596.633072028897</c:v>
                </c:pt>
                <c:pt idx="35">
                  <c:v>57399.462292960678</c:v>
                </c:pt>
                <c:pt idx="36">
                  <c:v>58191.216415814451</c:v>
                </c:pt>
                <c:pt idx="37">
                  <c:v>58972.341520269416</c:v>
                </c:pt>
                <c:pt idx="38">
                  <c:v>59743.254521447292</c:v>
                </c:pt>
                <c:pt idx="39">
                  <c:v>60504.345771568944</c:v>
                </c:pt>
                <c:pt idx="40">
                  <c:v>61255.98137061156</c:v>
                </c:pt>
                <c:pt idx="41">
                  <c:v>61998.50522478627</c:v>
                </c:pt>
                <c:pt idx="42">
                  <c:v>62732.240885680061</c:v>
                </c:pt>
                <c:pt idx="43">
                  <c:v>63457.493197967786</c:v>
                </c:pt>
                <c:pt idx="44">
                  <c:v>64174.549779498011</c:v>
                </c:pt>
                <c:pt idx="45">
                  <c:v>64883.682354135912</c:v>
                </c:pt>
                <c:pt idx="46">
                  <c:v>65585.147954880362</c:v>
                </c:pt>
                <c:pt idx="47">
                  <c:v>66279.190012361243</c:v>
                </c:pt>
                <c:pt idx="48">
                  <c:v>66966.039341787458</c:v>
                </c:pt>
                <c:pt idx="49">
                  <c:v>67645.915039690051</c:v>
                </c:pt>
                <c:pt idx="50">
                  <c:v>68319.025300337118</c:v>
                </c:pt>
                <c:pt idx="51">
                  <c:v>68985.568160443843</c:v>
                </c:pt>
                <c:pt idx="52">
                  <c:v>69645.732179727871</c:v>
                </c:pt>
                <c:pt idx="53">
                  <c:v>70299.697063938496</c:v>
                </c:pt>
                <c:pt idx="54">
                  <c:v>70947.634236193247</c:v>
                </c:pt>
                <c:pt idx="55">
                  <c:v>71589.707361769542</c:v>
                </c:pt>
                <c:pt idx="56">
                  <c:v>72226.072830903242</c:v>
                </c:pt>
                <c:pt idx="57">
                  <c:v>72856.880203629902</c:v>
                </c:pt>
                <c:pt idx="58">
                  <c:v>73482.272620253221</c:v>
                </c:pt>
                <c:pt idx="59">
                  <c:v>74102.387180632431</c:v>
                </c:pt>
                <c:pt idx="60">
                  <c:v>74717.355295135392</c:v>
                </c:pt>
                <c:pt idx="61">
                  <c:v>75327.303009802738</c:v>
                </c:pt>
                <c:pt idx="62">
                  <c:v>75932.351308001627</c:v>
                </c:pt>
                <c:pt idx="63">
                  <c:v>76532.616390614232</c:v>
                </c:pt>
                <c:pt idx="64">
                  <c:v>77128.209936598767</c:v>
                </c:pt>
                <c:pt idx="65">
                  <c:v>77719.239345577706</c:v>
                </c:pt>
                <c:pt idx="66">
                  <c:v>78305.807963945641</c:v>
                </c:pt>
                <c:pt idx="67">
                  <c:v>78888.015295844976</c:v>
                </c:pt>
                <c:pt idx="68">
                  <c:v>79465.957200228906</c:v>
                </c:pt>
                <c:pt idx="69">
                  <c:v>80039.726075116909</c:v>
                </c:pt>
                <c:pt idx="70">
                  <c:v>80609.411030045929</c:v>
                </c:pt>
                <c:pt idx="71">
                  <c:v>81175.098047628053</c:v>
                </c:pt>
                <c:pt idx="72">
                  <c:v>81736.870135044723</c:v>
                </c:pt>
                <c:pt idx="73">
                  <c:v>82294.807466232684</c:v>
                </c:pt>
                <c:pt idx="74">
                  <c:v>82848.987515451561</c:v>
                </c:pt>
                <c:pt idx="75">
                  <c:v>83399.48518286302</c:v>
                </c:pt>
                <c:pt idx="76">
                  <c:v>83946.372912697829</c:v>
                </c:pt>
                <c:pt idx="77">
                  <c:v>84489.720804538505</c:v>
                </c:pt>
                <c:pt idx="78">
                  <c:v>85029.596718201632</c:v>
                </c:pt>
                <c:pt idx="79">
                  <c:v>85566.06637266402</c:v>
                </c:pt>
                <c:pt idx="80">
                  <c:v>86099.19343944102</c:v>
                </c:pt>
                <c:pt idx="81">
                  <c:v>86629.03963079254</c:v>
                </c:pt>
                <c:pt idx="82">
                  <c:v>87155.664783102664</c:v>
                </c:pt>
                <c:pt idx="83">
                  <c:v>87679.12693575192</c:v>
                </c:pt>
                <c:pt idx="84">
                  <c:v>88199.482405776274</c:v>
                </c:pt>
                <c:pt idx="85">
                  <c:v>88716.785858584728</c:v>
                </c:pt>
                <c:pt idx="86">
                  <c:v>89231.090374987121</c:v>
                </c:pt>
                <c:pt idx="87">
                  <c:v>89742.447514764484</c:v>
                </c:pt>
                <c:pt idx="88">
                  <c:v>90250.90737699758</c:v>
                </c:pt>
                <c:pt idx="89">
                  <c:v>90756.518657353401</c:v>
                </c:pt>
                <c:pt idx="90">
                  <c:v>91259.328702514977</c:v>
                </c:pt>
                <c:pt idx="91">
                  <c:v>91759.38356192685</c:v>
                </c:pt>
                <c:pt idx="92">
                  <c:v>92256.728037016117</c:v>
                </c:pt>
                <c:pt idx="93">
                  <c:v>92751.405728037862</c:v>
                </c:pt>
                <c:pt idx="94">
                  <c:v>93243.459078684085</c:v>
                </c:pt>
                <c:pt idx="95">
                  <c:v>93732.929418584637</c:v>
                </c:pt>
                <c:pt idx="96">
                  <c:v>94219.857003821162</c:v>
                </c:pt>
                <c:pt idx="97">
                  <c:v>94704.281055566069</c:v>
                </c:pt>
                <c:pt idx="98">
                  <c:v>95186.239796951704</c:v>
                </c:pt>
                <c:pt idx="99">
                  <c:v>95665.770488267808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0D-48CE-97A9-677BDA8DEDD5}"/>
            </c:ext>
          </c:extLst>
        </c:ser>
        <c:ser>
          <c:idx val="2"/>
          <c:order val="2"/>
          <c:tx>
            <c:strRef>
              <c:f>'First three graphs'!$AN$3</c:f>
              <c:strCache>
                <c:ptCount val="1"/>
                <c:pt idx="0">
                  <c:v>ENPH 0.995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'First three graphs'!$AK$4:$AK$103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'First three graphs'!$AN$4:$AN$103</c:f>
              <c:numCache>
                <c:formatCode>General</c:formatCode>
                <c:ptCount val="100"/>
                <c:pt idx="0">
                  <c:v>10382.33168089728</c:v>
                </c:pt>
                <c:pt idx="1">
                  <c:v>14682.834272180788</c:v>
                </c:pt>
                <c:pt idx="2">
                  <c:v>17982.72597234607</c:v>
                </c:pt>
                <c:pt idx="3">
                  <c:v>20764.663361794559</c:v>
                </c:pt>
                <c:pt idx="4">
                  <c:v>23215.599403435972</c:v>
                </c:pt>
                <c:pt idx="5">
                  <c:v>25431.414958530713</c:v>
                </c:pt>
                <c:pt idx="6">
                  <c:v>27469.067656641411</c:v>
                </c:pt>
                <c:pt idx="7">
                  <c:v>29365.668544361575</c:v>
                </c:pt>
                <c:pt idx="8">
                  <c:v>31146.995042691837</c:v>
                </c:pt>
                <c:pt idx="9">
                  <c:v>32831.815534959889</c:v>
                </c:pt>
                <c:pt idx="10">
                  <c:v>34434.298634556159</c:v>
                </c:pt>
                <c:pt idx="11">
                  <c:v>35965.45194469214</c:v>
                </c:pt>
                <c:pt idx="12">
                  <c:v>37434.029234349371</c:v>
                </c:pt>
                <c:pt idx="13">
                  <c:v>38847.128025766411</c:v>
                </c:pt>
                <c:pt idx="14">
                  <c:v>40210.597694916825</c:v>
                </c:pt>
                <c:pt idx="15">
                  <c:v>41529.326723589118</c:v>
                </c:pt>
                <c:pt idx="16">
                  <c:v>42807.450160536035</c:v>
                </c:pt>
                <c:pt idx="17">
                  <c:v>44048.50281654235</c:v>
                </c:pt>
                <c:pt idx="18">
                  <c:v>45255.534595352023</c:v>
                </c:pt>
                <c:pt idx="19">
                  <c:v>46431.198806871944</c:v>
                </c:pt>
                <c:pt idx="20">
                  <c:v>47577.820817849875</c:v>
                </c:pt>
                <c:pt idx="21">
                  <c:v>48697.452139794674</c:v>
                </c:pt>
                <c:pt idx="22">
                  <c:v>49791.913560735498</c:v>
                </c:pt>
                <c:pt idx="23">
                  <c:v>50862.829917061426</c:v>
                </c:pt>
                <c:pt idx="24">
                  <c:v>51911.658404486399</c:v>
                </c:pt>
                <c:pt idx="25">
                  <c:v>52939.711837487805</c:v>
                </c:pt>
                <c:pt idx="26">
                  <c:v>53948.177917038214</c:v>
                </c:pt>
                <c:pt idx="27">
                  <c:v>54938.135313282823</c:v>
                </c:pt>
                <c:pt idx="28">
                  <c:v>55910.567183965642</c:v>
                </c:pt>
                <c:pt idx="29">
                  <c:v>56866.372611279679</c:v>
                </c:pt>
                <c:pt idx="30">
                  <c:v>57806.376335980989</c:v>
                </c:pt>
                <c:pt idx="31">
                  <c:v>58731.33708872315</c:v>
                </c:pt>
                <c:pt idx="32">
                  <c:v>59641.954758050888</c:v>
                </c:pt>
                <c:pt idx="33">
                  <c:v>60538.876587640385</c:v>
                </c:pt>
                <c:pt idx="34">
                  <c:v>61422.702558791047</c:v>
                </c:pt>
                <c:pt idx="35">
                  <c:v>62293.990085383673</c:v>
                </c:pt>
                <c:pt idx="36">
                  <c:v>63153.258125690103</c:v>
                </c:pt>
                <c:pt idx="37">
                  <c:v>64000.990797191611</c:v>
                </c:pt>
                <c:pt idx="38">
                  <c:v>64837.640565911788</c:v>
                </c:pt>
                <c:pt idx="39">
                  <c:v>65663.631069919778</c:v>
                </c:pt>
                <c:pt idx="40">
                  <c:v>66479.359627020298</c:v>
                </c:pt>
                <c:pt idx="41">
                  <c:v>67285.199468760286</c:v>
                </c:pt>
                <c:pt idx="42">
                  <c:v>68081.501736396967</c:v>
                </c:pt>
                <c:pt idx="43">
                  <c:v>68868.597269112317</c:v>
                </c:pt>
                <c:pt idx="44">
                  <c:v>69646.798210307912</c:v>
                </c:pt>
                <c:pt idx="45">
                  <c:v>70416.399454100989</c:v>
                </c:pt>
                <c:pt idx="46">
                  <c:v>71177.679951032944</c:v>
                </c:pt>
                <c:pt idx="47">
                  <c:v>71930.903889384281</c:v>
                </c:pt>
                <c:pt idx="48">
                  <c:v>72676.321766280947</c:v>
                </c:pt>
                <c:pt idx="49">
                  <c:v>73414.171360903929</c:v>
                </c:pt>
                <c:pt idx="50">
                  <c:v>74144.678620520906</c:v>
                </c:pt>
                <c:pt idx="51">
                  <c:v>74868.058468698742</c:v>
                </c:pt>
                <c:pt idx="52">
                  <c:v>75584.51554389071</c:v>
                </c:pt>
                <c:pt idx="53">
                  <c:v>76294.244875592165</c:v>
                </c:pt>
                <c:pt idx="54">
                  <c:v>76997.43250439578</c:v>
                </c:pt>
                <c:pt idx="55">
                  <c:v>77694.256051532822</c:v>
                </c:pt>
                <c:pt idx="56">
                  <c:v>78384.885242840726</c:v>
                </c:pt>
                <c:pt idx="57">
                  <c:v>79069.482391536323</c:v>
                </c:pt>
                <c:pt idx="58">
                  <c:v>79748.202843685664</c:v>
                </c:pt>
                <c:pt idx="59">
                  <c:v>80421.195389833651</c:v>
                </c:pt>
                <c:pt idx="60">
                  <c:v>81088.602645883366</c:v>
                </c:pt>
                <c:pt idx="61">
                  <c:v>81750.56140598745</c:v>
                </c:pt>
                <c:pt idx="62">
                  <c:v>82407.202969924241</c:v>
                </c:pt>
                <c:pt idx="63">
                  <c:v>83058.653447178236</c:v>
                </c:pt>
                <c:pt idx="64">
                  <c:v>83705.034039719583</c:v>
                </c:pt>
                <c:pt idx="65">
                  <c:v>84346.461305278121</c:v>
                </c:pt>
                <c:pt idx="66">
                  <c:v>84983.047402731696</c:v>
                </c:pt>
                <c:pt idx="67">
                  <c:v>85614.900321072069</c:v>
                </c:pt>
                <c:pt idx="68">
                  <c:v>86242.124093271676</c:v>
                </c:pt>
                <c:pt idx="69">
                  <c:v>86864.818996250906</c:v>
                </c:pt>
                <c:pt idx="70">
                  <c:v>87483.081738034336</c:v>
                </c:pt>
                <c:pt idx="71">
                  <c:v>88097.0056330847</c:v>
                </c:pt>
                <c:pt idx="72">
                  <c:v>88706.680766715202</c:v>
                </c:pt>
                <c:pt idx="73">
                  <c:v>89312.194149399802</c:v>
                </c:pt>
                <c:pt idx="74">
                  <c:v>89913.629861730369</c:v>
                </c:pt>
                <c:pt idx="75">
                  <c:v>90511.069190704045</c:v>
                </c:pt>
                <c:pt idx="76">
                  <c:v>91104.590757966624</c:v>
                </c:pt>
                <c:pt idx="77">
                  <c:v>91694.270640584407</c:v>
                </c:pt>
                <c:pt idx="78">
                  <c:v>92280.182484869976</c:v>
                </c:pt>
                <c:pt idx="79">
                  <c:v>92862.397613743888</c:v>
                </c:pt>
                <c:pt idx="80">
                  <c:v>93440.98512807551</c:v>
                </c:pt>
                <c:pt idx="81">
                  <c:v>94016.012002410498</c:v>
                </c:pt>
                <c:pt idx="82">
                  <c:v>94587.543175460247</c:v>
                </c:pt>
                <c:pt idx="83">
                  <c:v>95155.641635699751</c:v>
                </c:pt>
                <c:pt idx="84">
                  <c:v>95720.368502392841</c:v>
                </c:pt>
                <c:pt idx="85">
                  <c:v>96281.783102340007</c:v>
                </c:pt>
                <c:pt idx="86">
                  <c:v>96839.943042621671</c:v>
                </c:pt>
                <c:pt idx="87">
                  <c:v>97394.904279589347</c:v>
                </c:pt>
                <c:pt idx="88">
                  <c:v>97946.721184338443</c:v>
                </c:pt>
                <c:pt idx="89">
                  <c:v>98495.446604879646</c:v>
                </c:pt>
                <c:pt idx="90">
                  <c:v>99041.131925210051</c:v>
                </c:pt>
                <c:pt idx="91">
                  <c:v>99583.827121470997</c:v>
                </c:pt>
                <c:pt idx="92">
                  <c:v>100123.58081536632</c:v>
                </c:pt>
                <c:pt idx="93">
                  <c:v>100660.44032500232</c:v>
                </c:pt>
                <c:pt idx="94">
                  <c:v>101194.45171330054</c:v>
                </c:pt>
                <c:pt idx="95">
                  <c:v>101725.65983412285</c:v>
                </c:pt>
                <c:pt idx="96">
                  <c:v>102254.10837624002</c:v>
                </c:pt>
                <c:pt idx="97">
                  <c:v>102779.8399052655</c:v>
                </c:pt>
                <c:pt idx="98">
                  <c:v>103302.8959036685</c:v>
                </c:pt>
                <c:pt idx="99">
                  <c:v>103823.3168089728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0D-48CE-97A9-677BDA8DEDD5}"/>
            </c:ext>
          </c:extLst>
        </c:ser>
        <c:ser>
          <c:idx val="3"/>
          <c:order val="3"/>
          <c:tx>
            <c:strRef>
              <c:f>'First three graphs'!$AO$3</c:f>
              <c:strCache>
                <c:ptCount val="1"/>
                <c:pt idx="0">
                  <c:v>SEDG 0.95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'First three graphs'!$AK$4:$AK$103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'First three graphs'!$AO$4:$AO$103</c:f>
              <c:numCache>
                <c:formatCode>General</c:formatCode>
                <c:ptCount val="100"/>
                <c:pt idx="0">
                  <c:v>5092.458099910923</c:v>
                </c:pt>
                <c:pt idx="1">
                  <c:v>7201.8233107107499</c:v>
                </c:pt>
                <c:pt idx="2">
                  <c:v>8820.3961644613846</c:v>
                </c:pt>
                <c:pt idx="3">
                  <c:v>10184.916199821846</c:v>
                </c:pt>
                <c:pt idx="4">
                  <c:v>11387.08248397024</c:v>
                </c:pt>
                <c:pt idx="5">
                  <c:v>12473.923881284918</c:v>
                </c:pt>
                <c:pt idx="6">
                  <c:v>13473.377694380819</c:v>
                </c:pt>
                <c:pt idx="7">
                  <c:v>14403.6466214215</c:v>
                </c:pt>
                <c:pt idx="8">
                  <c:v>15277.374299732768</c:v>
                </c:pt>
                <c:pt idx="9">
                  <c:v>16103.766484691823</c:v>
                </c:pt>
                <c:pt idx="10">
                  <c:v>16889.77277801072</c:v>
                </c:pt>
                <c:pt idx="11">
                  <c:v>17640.792328922769</c:v>
                </c:pt>
                <c:pt idx="12">
                  <c:v>18361.11879738075</c:v>
                </c:pt>
                <c:pt idx="13">
                  <c:v>19054.233466368492</c:v>
                </c:pt>
                <c:pt idx="14">
                  <c:v>19723.005412214068</c:v>
                </c:pt>
                <c:pt idx="15">
                  <c:v>20369.832399643692</c:v>
                </c:pt>
                <c:pt idx="16">
                  <c:v>20996.742639964948</c:v>
                </c:pt>
                <c:pt idx="17">
                  <c:v>21605.469932132244</c:v>
                </c:pt>
                <c:pt idx="18">
                  <c:v>22197.510231726868</c:v>
                </c:pt>
                <c:pt idx="19">
                  <c:v>22774.16496794048</c:v>
                </c:pt>
                <c:pt idx="20">
                  <c:v>23336.574716232793</c:v>
                </c:pt>
                <c:pt idx="21">
                  <c:v>23885.74572806267</c:v>
                </c:pt>
                <c:pt idx="22">
                  <c:v>24422.571086701995</c:v>
                </c:pt>
                <c:pt idx="23">
                  <c:v>24947.847762569836</c:v>
                </c:pt>
                <c:pt idx="24">
                  <c:v>25462.290499554612</c:v>
                </c:pt>
                <c:pt idx="25">
                  <c:v>25966.54322359943</c:v>
                </c:pt>
                <c:pt idx="26">
                  <c:v>26461.18849338415</c:v>
                </c:pt>
                <c:pt idx="27">
                  <c:v>26946.755388761638</c:v>
                </c:pt>
                <c:pt idx="28">
                  <c:v>27423.726141447347</c:v>
                </c:pt>
                <c:pt idx="29">
                  <c:v>27892.541744711092</c:v>
                </c:pt>
                <c:pt idx="30">
                  <c:v>28353.606727889121</c:v>
                </c:pt>
                <c:pt idx="31">
                  <c:v>28807.293242842999</c:v>
                </c:pt>
                <c:pt idx="32">
                  <c:v>29253.944579808311</c:v>
                </c:pt>
                <c:pt idx="33">
                  <c:v>29693.878207095895</c:v>
                </c:pt>
                <c:pt idx="34">
                  <c:v>30127.388411164895</c:v>
                </c:pt>
                <c:pt idx="35">
                  <c:v>30554.748599465536</c:v>
                </c:pt>
                <c:pt idx="36">
                  <c:v>30976.213317251826</c:v>
                </c:pt>
                <c:pt idx="37">
                  <c:v>31392.020020623677</c:v>
                </c:pt>
                <c:pt idx="38">
                  <c:v>31802.390640871421</c:v>
                </c:pt>
                <c:pt idx="39">
                  <c:v>32207.532969383647</c:v>
                </c:pt>
                <c:pt idx="40">
                  <c:v>32607.641887650861</c:v>
                </c:pt>
                <c:pt idx="41">
                  <c:v>33002.900463029473</c:v>
                </c:pt>
                <c:pt idx="42">
                  <c:v>33393.480927749653</c:v>
                </c:pt>
                <c:pt idx="43">
                  <c:v>33779.54555602144</c:v>
                </c:pt>
                <c:pt idx="44">
                  <c:v>34161.24745191072</c:v>
                </c:pt>
                <c:pt idx="45">
                  <c:v>34538.731258834981</c:v>
                </c:pt>
                <c:pt idx="46">
                  <c:v>34912.133800003874</c:v>
                </c:pt>
                <c:pt idx="47">
                  <c:v>35281.584657845538</c:v>
                </c:pt>
                <c:pt idx="48">
                  <c:v>35647.20669937646</c:v>
                </c:pt>
                <c:pt idx="49">
                  <c:v>36009.116553553744</c:v>
                </c:pt>
                <c:pt idx="50">
                  <c:v>36367.425045867167</c:v>
                </c:pt>
                <c:pt idx="51">
                  <c:v>36722.2375947615</c:v>
                </c:pt>
                <c:pt idx="52">
                  <c:v>37073.654573908185</c:v>
                </c:pt>
                <c:pt idx="53">
                  <c:v>37421.771643854758</c:v>
                </c:pt>
                <c:pt idx="54">
                  <c:v>37766.680056157435</c:v>
                </c:pt>
                <c:pt idx="55">
                  <c:v>38108.466932736985</c:v>
                </c:pt>
                <c:pt idx="56">
                  <c:v>38447.215522880942</c:v>
                </c:pt>
                <c:pt idx="57">
                  <c:v>38783.005440040433</c:v>
                </c:pt>
                <c:pt idx="58">
                  <c:v>39115.912880329837</c:v>
                </c:pt>
                <c:pt idx="59">
                  <c:v>39446.010824428136</c:v>
                </c:pt>
                <c:pt idx="60">
                  <c:v>39773.369224397502</c:v>
                </c:pt>
                <c:pt idx="61">
                  <c:v>40098.055176773836</c:v>
                </c:pt>
                <c:pt idx="62">
                  <c:v>40420.133083142457</c:v>
                </c:pt>
                <c:pt idx="63">
                  <c:v>40739.664799287384</c:v>
                </c:pt>
                <c:pt idx="64">
                  <c:v>41056.709773892544</c:v>
                </c:pt>
                <c:pt idx="65">
                  <c:v>41371.325177675812</c:v>
                </c:pt>
                <c:pt idx="66">
                  <c:v>41683.566023750187</c:v>
                </c:pt>
                <c:pt idx="67">
                  <c:v>41993.485279929897</c:v>
                </c:pt>
                <c:pt idx="68">
                  <c:v>42301.133973630509</c:v>
                </c:pt>
                <c:pt idx="69">
                  <c:v>42606.561289951409</c:v>
                </c:pt>
                <c:pt idx="70">
                  <c:v>42909.814663474535</c:v>
                </c:pt>
                <c:pt idx="71">
                  <c:v>43210.939864264488</c:v>
                </c:pt>
                <c:pt idx="72">
                  <c:v>43509.981078511519</c:v>
                </c:pt>
                <c:pt idx="73">
                  <c:v>43806.980984219619</c:v>
                </c:pt>
                <c:pt idx="74">
                  <c:v>44101.980822306927</c:v>
                </c:pt>
                <c:pt idx="75">
                  <c:v>44395.020463453737</c:v>
                </c:pt>
                <c:pt idx="76">
                  <c:v>44686.138471004902</c:v>
                </c:pt>
                <c:pt idx="77">
                  <c:v>44975.372160207553</c:v>
                </c:pt>
                <c:pt idx="78">
                  <c:v>45262.757654041816</c:v>
                </c:pt>
                <c:pt idx="79">
                  <c:v>45548.32993588096</c:v>
                </c:pt>
                <c:pt idx="80">
                  <c:v>45832.122899198301</c:v>
                </c:pt>
                <c:pt idx="81">
                  <c:v>46114.169394520883</c:v>
                </c:pt>
                <c:pt idx="82">
                  <c:v>46394.501273813847</c:v>
                </c:pt>
                <c:pt idx="83">
                  <c:v>46673.149432465587</c:v>
                </c:pt>
                <c:pt idx="84">
                  <c:v>46950.143849030013</c:v>
                </c:pt>
                <c:pt idx="85">
                  <c:v>47225.513622870843</c:v>
                </c:pt>
                <c:pt idx="86">
                  <c:v>47499.28700984161</c:v>
                </c:pt>
                <c:pt idx="87">
                  <c:v>47771.491456125339</c:v>
                </c:pt>
                <c:pt idx="88">
                  <c:v>48042.153630348468</c:v>
                </c:pt>
                <c:pt idx="89">
                  <c:v>48311.299454075473</c:v>
                </c:pt>
                <c:pt idx="90">
                  <c:v>48578.954130782811</c:v>
                </c:pt>
                <c:pt idx="91">
                  <c:v>48845.14217340399</c:v>
                </c:pt>
                <c:pt idx="92">
                  <c:v>49109.887430530711</c:v>
                </c:pt>
                <c:pt idx="93">
                  <c:v>49373.213111349629</c:v>
                </c:pt>
                <c:pt idx="94">
                  <c:v>49635.141809388377</c:v>
                </c:pt>
                <c:pt idx="95">
                  <c:v>49895.695525139672</c:v>
                </c:pt>
                <c:pt idx="96">
                  <c:v>50154.895687627453</c:v>
                </c:pt>
                <c:pt idx="97">
                  <c:v>50412.76317497524</c:v>
                </c:pt>
                <c:pt idx="98">
                  <c:v>50669.318334032163</c:v>
                </c:pt>
                <c:pt idx="99">
                  <c:v>50924.580999109225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0D-48CE-97A9-677BDA8DEDD5}"/>
            </c:ext>
          </c:extLst>
        </c:ser>
        <c:ser>
          <c:idx val="4"/>
          <c:order val="4"/>
          <c:tx>
            <c:strRef>
              <c:f>'First three graphs'!$AP$3</c:f>
              <c:strCache>
                <c:ptCount val="1"/>
                <c:pt idx="0">
                  <c:v>SEDG 0.99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'First three graphs'!$AK$4:$AK$103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'First three graphs'!$AP$4:$AP$103</c:f>
              <c:numCache>
                <c:formatCode>General</c:formatCode>
                <c:ptCount val="100"/>
                <c:pt idx="0">
                  <c:v>6703.3377029439698</c:v>
                </c:pt>
                <c:pt idx="1">
                  <c:v>9479.9510926702733</c:v>
                </c:pt>
                <c:pt idx="2">
                  <c:v>11610.521481791005</c:v>
                </c:pt>
                <c:pt idx="3">
                  <c:v>13406.67540588794</c:v>
                </c:pt>
                <c:pt idx="4">
                  <c:v>14989.118779920011</c:v>
                </c:pt>
                <c:pt idx="5">
                  <c:v>16419.756945773006</c:v>
                </c:pt>
                <c:pt idx="6">
                  <c:v>17735.36451607271</c:v>
                </c:pt>
                <c:pt idx="7">
                  <c:v>18959.902185340547</c:v>
                </c:pt>
                <c:pt idx="8">
                  <c:v>20110.01310883191</c:v>
                </c:pt>
                <c:pt idx="9">
                  <c:v>21197.815066584135</c:v>
                </c:pt>
                <c:pt idx="10">
                  <c:v>22232.45600370799</c:v>
                </c:pt>
                <c:pt idx="11">
                  <c:v>23221.042963582011</c:v>
                </c:pt>
                <c:pt idx="12">
                  <c:v>24169.227804715476</c:v>
                </c:pt>
                <c:pt idx="13">
                  <c:v>25081.593032260567</c:v>
                </c:pt>
                <c:pt idx="14">
                  <c:v>25961.915287506275</c:v>
                </c:pt>
                <c:pt idx="15">
                  <c:v>26813.350811775879</c:v>
                </c:pt>
                <c:pt idx="16">
                  <c:v>27638.569393423251</c:v>
                </c:pt>
                <c:pt idx="17">
                  <c:v>28439.853278010811</c:v>
                </c:pt>
                <c:pt idx="18">
                  <c:v>29219.171631558838</c:v>
                </c:pt>
                <c:pt idx="19">
                  <c:v>29978.237559840021</c:v>
                </c:pt>
                <c:pt idx="20">
                  <c:v>30718.552432592147</c:v>
                </c:pt>
                <c:pt idx="21">
                  <c:v>31441.440805306986</c:v>
                </c:pt>
                <c:pt idx="22">
                  <c:v>32148.078267189365</c:v>
                </c:pt>
                <c:pt idx="23">
                  <c:v>32839.513891546012</c:v>
                </c:pt>
                <c:pt idx="24">
                  <c:v>33516.688514719848</c:v>
                </c:pt>
                <c:pt idx="25">
                  <c:v>34180.449753513538</c:v>
                </c:pt>
                <c:pt idx="26">
                  <c:v>34831.56444537302</c:v>
                </c:pt>
                <c:pt idx="27">
                  <c:v>35470.72903214542</c:v>
                </c:pt>
                <c:pt idx="28">
                  <c:v>36098.578288231714</c:v>
                </c:pt>
                <c:pt idx="29">
                  <c:v>36715.692704772766</c:v>
                </c:pt>
                <c:pt idx="30">
                  <c:v>37322.604774466294</c:v>
                </c:pt>
                <c:pt idx="31">
                  <c:v>37919.804370681093</c:v>
                </c:pt>
                <c:pt idx="32">
                  <c:v>38507.743375461963</c:v>
                </c:pt>
                <c:pt idx="33">
                  <c:v>39086.839680769088</c:v>
                </c:pt>
                <c:pt idx="34">
                  <c:v>39657.480663676244</c:v>
                </c:pt>
                <c:pt idx="35">
                  <c:v>40220.026217663821</c:v>
                </c:pt>
                <c:pt idx="36">
                  <c:v>40774.811407402914</c:v>
                </c:pt>
                <c:pt idx="37">
                  <c:v>41322.148802657699</c:v>
                </c:pt>
                <c:pt idx="38">
                  <c:v>41862.330537473608</c:v>
                </c:pt>
                <c:pt idx="39">
                  <c:v>42395.63013316827</c:v>
                </c:pt>
                <c:pt idx="40">
                  <c:v>42922.304117417974</c:v>
                </c:pt>
                <c:pt idx="41">
                  <c:v>43442.593466640843</c:v>
                </c:pt>
                <c:pt idx="42">
                  <c:v>43956.724894690866</c:v>
                </c:pt>
                <c:pt idx="43">
                  <c:v>44464.91200741598</c:v>
                </c:pt>
                <c:pt idx="44">
                  <c:v>44967.35633976003</c:v>
                </c:pt>
                <c:pt idx="45">
                  <c:v>45464.24828969095</c:v>
                </c:pt>
                <c:pt idx="46">
                  <c:v>45955.767961229598</c:v>
                </c:pt>
                <c:pt idx="47">
                  <c:v>46442.085927164022</c:v>
                </c:pt>
                <c:pt idx="48">
                  <c:v>46923.363920607793</c:v>
                </c:pt>
                <c:pt idx="49">
                  <c:v>47399.755463351357</c:v>
                </c:pt>
                <c:pt idx="50">
                  <c:v>47871.406437927195</c:v>
                </c:pt>
                <c:pt idx="51">
                  <c:v>48338.455609430952</c:v>
                </c:pt>
                <c:pt idx="52">
                  <c:v>48801.035102389353</c:v>
                </c:pt>
                <c:pt idx="53">
                  <c:v>49259.270837319018</c:v>
                </c:pt>
                <c:pt idx="54">
                  <c:v>49713.282931064387</c:v>
                </c:pt>
                <c:pt idx="55">
                  <c:v>50163.186064521135</c:v>
                </c:pt>
                <c:pt idx="56">
                  <c:v>50609.089820935114</c:v>
                </c:pt>
                <c:pt idx="57">
                  <c:v>51051.09899760424</c:v>
                </c:pt>
                <c:pt idx="58">
                  <c:v>51489.313893495397</c:v>
                </c:pt>
                <c:pt idx="59">
                  <c:v>51923.830575012551</c:v>
                </c:pt>
                <c:pt idx="60">
                  <c:v>52354.741121911</c:v>
                </c:pt>
                <c:pt idx="61">
                  <c:v>52782.133855141066</c:v>
                </c:pt>
                <c:pt idx="62">
                  <c:v>53206.09354821813</c:v>
                </c:pt>
                <c:pt idx="63">
                  <c:v>53626.701623551759</c:v>
                </c:pt>
                <c:pt idx="64">
                  <c:v>54044.036335021825</c:v>
                </c:pt>
                <c:pt idx="65">
                  <c:v>54458.172937961019</c:v>
                </c:pt>
                <c:pt idx="66">
                  <c:v>54869.183847589527</c:v>
                </c:pt>
                <c:pt idx="67">
                  <c:v>55277.138786846503</c:v>
                </c:pt>
                <c:pt idx="68">
                  <c:v>55682.104924472813</c:v>
                </c:pt>
                <c:pt idx="69">
                  <c:v>56084.14700411971</c:v>
                </c:pt>
                <c:pt idx="70">
                  <c:v>56483.327465185874</c:v>
                </c:pt>
                <c:pt idx="71">
                  <c:v>56879.706556021622</c:v>
                </c:pt>
                <c:pt idx="72">
                  <c:v>57273.342440081491</c:v>
                </c:pt>
                <c:pt idx="73">
                  <c:v>57664.291295554402</c:v>
                </c:pt>
                <c:pt idx="74">
                  <c:v>58052.607408955031</c:v>
                </c:pt>
                <c:pt idx="75">
                  <c:v>58438.343263117677</c:v>
                </c:pt>
                <c:pt idx="76">
                  <c:v>58821.549619996251</c:v>
                </c:pt>
                <c:pt idx="77">
                  <c:v>59202.275598640554</c:v>
                </c:pt>
                <c:pt idx="78">
                  <c:v>59580.568748687692</c:v>
                </c:pt>
                <c:pt idx="79">
                  <c:v>59956.475119680043</c:v>
                </c:pt>
                <c:pt idx="80">
                  <c:v>60330.039326495731</c:v>
                </c:pt>
                <c:pt idx="81">
                  <c:v>60701.304611155036</c:v>
                </c:pt>
                <c:pt idx="82">
                  <c:v>61070.312901244761</c:v>
                </c:pt>
                <c:pt idx="83">
                  <c:v>61437.104865184294</c:v>
                </c:pt>
                <c:pt idx="84">
                  <c:v>61801.719964539509</c:v>
                </c:pt>
                <c:pt idx="85">
                  <c:v>62164.196503574887</c:v>
                </c:pt>
                <c:pt idx="86">
                  <c:v>62524.571676220083</c:v>
                </c:pt>
                <c:pt idx="87">
                  <c:v>62882.881610613971</c:v>
                </c:pt>
                <c:pt idx="88">
                  <c:v>63239.16141137707</c:v>
                </c:pt>
                <c:pt idx="89">
                  <c:v>63593.445199752408</c:v>
                </c:pt>
                <c:pt idx="90">
                  <c:v>63945.766151744727</c:v>
                </c:pt>
                <c:pt idx="91">
                  <c:v>64296.15653437873</c:v>
                </c:pt>
                <c:pt idx="92">
                  <c:v>64644.647740188382</c:v>
                </c:pt>
                <c:pt idx="93">
                  <c:v>64991.270320041862</c:v>
                </c:pt>
                <c:pt idx="94">
                  <c:v>65336.054014398993</c:v>
                </c:pt>
                <c:pt idx="95">
                  <c:v>65679.027783092024</c:v>
                </c:pt>
                <c:pt idx="96">
                  <c:v>66020.219833713694</c:v>
                </c:pt>
                <c:pt idx="97">
                  <c:v>66359.657648691908</c:v>
                </c:pt>
                <c:pt idx="98">
                  <c:v>66697.368011123981</c:v>
                </c:pt>
                <c:pt idx="99">
                  <c:v>67033.377029439696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40D-48CE-97A9-677BDA8DEDD5}"/>
            </c:ext>
          </c:extLst>
        </c:ser>
        <c:ser>
          <c:idx val="5"/>
          <c:order val="5"/>
          <c:tx>
            <c:strRef>
              <c:f>'First three graphs'!$AQ$3</c:f>
              <c:strCache>
                <c:ptCount val="1"/>
                <c:pt idx="0">
                  <c:v>SEDG 0.995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'First three graphs'!$AK$4:$AK$103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'First three graphs'!$AQ$4:$AQ$103</c:f>
              <c:numCache>
                <c:formatCode>General</c:formatCode>
                <c:ptCount val="100"/>
                <c:pt idx="0">
                  <c:v>7274.940142729889</c:v>
                </c:pt>
                <c:pt idx="1">
                  <c:v>10288.319015301071</c:v>
                </c:pt>
                <c:pt idx="2">
                  <c:v>12600.565949230548</c:v>
                </c:pt>
                <c:pt idx="3">
                  <c:v>14549.880285459778</c:v>
                </c:pt>
                <c:pt idx="4">
                  <c:v>16267.260691386056</c:v>
                </c:pt>
                <c:pt idx="5">
                  <c:v>17819.891258978452</c:v>
                </c:pt>
                <c:pt idx="6">
                  <c:v>19247.682420544024</c:v>
                </c:pt>
                <c:pt idx="7">
                  <c:v>20576.638030602142</c:v>
                </c:pt>
                <c:pt idx="8">
                  <c:v>21824.820428189669</c:v>
                </c:pt>
                <c:pt idx="9">
                  <c:v>23005.380692416889</c:v>
                </c:pt>
                <c:pt idx="10">
                  <c:v>24128.246825729599</c:v>
                </c:pt>
                <c:pt idx="11">
                  <c:v>25201.131898461095</c:v>
                </c:pt>
                <c:pt idx="12">
                  <c:v>26230.169710543927</c:v>
                </c:pt>
                <c:pt idx="13">
                  <c:v>27220.333523383561</c:v>
                </c:pt>
                <c:pt idx="14">
                  <c:v>28175.722017448668</c:v>
                </c:pt>
                <c:pt idx="15">
                  <c:v>29099.760570919556</c:v>
                </c:pt>
                <c:pt idx="16">
                  <c:v>29995.346628521354</c:v>
                </c:pt>
                <c:pt idx="17">
                  <c:v>30864.957045903204</c:v>
                </c:pt>
                <c:pt idx="18">
                  <c:v>31710.728902466952</c:v>
                </c:pt>
                <c:pt idx="19">
                  <c:v>32534.521382772113</c:v>
                </c:pt>
                <c:pt idx="20">
                  <c:v>33337.963880332558</c:v>
                </c:pt>
                <c:pt idx="21">
                  <c:v>34122.493897232387</c:v>
                </c:pt>
                <c:pt idx="22">
                  <c:v>34889.387266717138</c:v>
                </c:pt>
                <c:pt idx="23">
                  <c:v>35639.782517956904</c:v>
                </c:pt>
                <c:pt idx="24">
                  <c:v>36374.700713649443</c:v>
                </c:pt>
                <c:pt idx="25">
                  <c:v>37095.061747999185</c:v>
                </c:pt>
                <c:pt idx="26">
                  <c:v>37801.697847691641</c:v>
                </c:pt>
                <c:pt idx="27">
                  <c:v>38495.364841088049</c:v>
                </c:pt>
                <c:pt idx="28">
                  <c:v>39176.751630639061</c:v>
                </c:pt>
                <c:pt idx="29">
                  <c:v>39846.48820673013</c:v>
                </c:pt>
                <c:pt idx="30">
                  <c:v>40505.152468413027</c:v>
                </c:pt>
                <c:pt idx="31">
                  <c:v>41153.276061204284</c:v>
                </c:pt>
                <c:pt idx="32">
                  <c:v>41791.349399726154</c:v>
                </c:pt>
                <c:pt idx="33">
                  <c:v>42419.826010136989</c:v>
                </c:pt>
                <c:pt idx="34">
                  <c:v>43039.126301664131</c:v>
                </c:pt>
                <c:pt idx="35">
                  <c:v>43649.640856379337</c:v>
                </c:pt>
                <c:pt idx="36">
                  <c:v>44251.733310359748</c:v>
                </c:pt>
                <c:pt idx="37">
                  <c:v>44845.742886605251</c:v>
                </c:pt>
                <c:pt idx="38">
                  <c:v>45431.986629816318</c:v>
                </c:pt>
                <c:pt idx="39">
                  <c:v>46010.761384833779</c:v>
                </c:pt>
                <c:pt idx="40">
                  <c:v>46582.345553786945</c:v>
                </c:pt>
                <c:pt idx="41">
                  <c:v>47147.00066147068</c:v>
                </c:pt>
                <c:pt idx="42">
                  <c:v>47704.972753928072</c:v>
                </c:pt>
                <c:pt idx="43">
                  <c:v>48256.493651459197</c:v>
                </c:pt>
                <c:pt idx="44">
                  <c:v>48801.782074158167</c:v>
                </c:pt>
                <c:pt idx="45">
                  <c:v>49341.044655478545</c:v>
                </c:pt>
                <c:pt idx="46">
                  <c:v>49874.476857148395</c:v>
                </c:pt>
                <c:pt idx="47">
                  <c:v>50402.263796922191</c:v>
                </c:pt>
                <c:pt idx="48">
                  <c:v>50924.580999109225</c:v>
                </c:pt>
                <c:pt idx="49">
                  <c:v>51441.595076505349</c:v>
                </c:pt>
                <c:pt idx="50">
                  <c:v>51953.464351238814</c:v>
                </c:pt>
                <c:pt idx="51">
                  <c:v>52460.339421087854</c:v>
                </c:pt>
                <c:pt idx="52">
                  <c:v>52962.363677011694</c:v>
                </c:pt>
                <c:pt idx="53">
                  <c:v>53459.673776935364</c:v>
                </c:pt>
                <c:pt idx="54">
                  <c:v>53952.400080224907</c:v>
                </c:pt>
                <c:pt idx="55">
                  <c:v>54440.667046767121</c:v>
                </c:pt>
                <c:pt idx="56">
                  <c:v>54924.593604115624</c:v>
                </c:pt>
                <c:pt idx="57">
                  <c:v>55404.293485772039</c:v>
                </c:pt>
                <c:pt idx="58">
                  <c:v>55879.875543328337</c:v>
                </c:pt>
                <c:pt idx="59">
                  <c:v>56351.444034897337</c:v>
                </c:pt>
                <c:pt idx="60">
                  <c:v>56819.098891996429</c:v>
                </c:pt>
                <c:pt idx="61">
                  <c:v>57282.935966819758</c:v>
                </c:pt>
                <c:pt idx="62">
                  <c:v>57743.047261632077</c:v>
                </c:pt>
                <c:pt idx="63">
                  <c:v>58199.521141839112</c:v>
                </c:pt>
                <c:pt idx="64">
                  <c:v>58652.442534132206</c:v>
                </c:pt>
                <c:pt idx="65">
                  <c:v>59101.893110965437</c:v>
                </c:pt>
                <c:pt idx="66">
                  <c:v>59547.951462500263</c:v>
                </c:pt>
                <c:pt idx="67">
                  <c:v>59990.693257042709</c:v>
                </c:pt>
                <c:pt idx="68">
                  <c:v>60430.19139090072</c:v>
                </c:pt>
                <c:pt idx="69">
                  <c:v>60866.516128502008</c:v>
                </c:pt>
                <c:pt idx="70">
                  <c:v>61299.735233535052</c:v>
                </c:pt>
                <c:pt idx="71">
                  <c:v>61729.914091806408</c:v>
                </c:pt>
                <c:pt idx="72">
                  <c:v>62157.115826445028</c:v>
                </c:pt>
                <c:pt idx="73">
                  <c:v>62581.401406028024</c:v>
                </c:pt>
                <c:pt idx="74">
                  <c:v>63002.829746152747</c:v>
                </c:pt>
                <c:pt idx="75">
                  <c:v>63421.457804933903</c:v>
                </c:pt>
                <c:pt idx="76">
                  <c:v>63837.340672864142</c:v>
                </c:pt>
                <c:pt idx="77">
                  <c:v>64250.531657439358</c:v>
                </c:pt>
                <c:pt idx="78">
                  <c:v>64661.082362916874</c:v>
                </c:pt>
                <c:pt idx="79">
                  <c:v>65069.042765544225</c:v>
                </c:pt>
                <c:pt idx="80">
                  <c:v>65474.461284568999</c:v>
                </c:pt>
                <c:pt idx="81">
                  <c:v>65877.384849315538</c:v>
                </c:pt>
                <c:pt idx="82">
                  <c:v>66277.858962591199</c:v>
                </c:pt>
                <c:pt idx="83">
                  <c:v>66675.927760665116</c:v>
                </c:pt>
                <c:pt idx="84">
                  <c:v>67071.63407004287</c:v>
                </c:pt>
                <c:pt idx="85">
                  <c:v>67465.019461244054</c:v>
                </c:pt>
                <c:pt idx="86">
                  <c:v>67856.124299773728</c:v>
                </c:pt>
                <c:pt idx="87">
                  <c:v>68244.987794464774</c:v>
                </c:pt>
                <c:pt idx="88">
                  <c:v>68631.648043354944</c:v>
                </c:pt>
                <c:pt idx="89">
                  <c:v>69016.142077250668</c:v>
                </c:pt>
                <c:pt idx="90">
                  <c:v>69398.505901118304</c:v>
                </c:pt>
                <c:pt idx="91">
                  <c:v>69778.774533434276</c:v>
                </c:pt>
                <c:pt idx="92">
                  <c:v>70156.982043615295</c:v>
                </c:pt>
                <c:pt idx="93">
                  <c:v>70533.161587642317</c:v>
                </c:pt>
                <c:pt idx="94">
                  <c:v>70907.345441983402</c:v>
                </c:pt>
                <c:pt idx="95">
                  <c:v>71279.565035913809</c:v>
                </c:pt>
                <c:pt idx="96">
                  <c:v>71649.850982324933</c:v>
                </c:pt>
                <c:pt idx="97">
                  <c:v>72018.233107107488</c:v>
                </c:pt>
                <c:pt idx="98">
                  <c:v>72384.740477188796</c:v>
                </c:pt>
                <c:pt idx="99">
                  <c:v>72749.401427298886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40D-48CE-97A9-677BDA8DEDD5}"/>
            </c:ext>
          </c:extLst>
        </c:ser>
        <c:ser>
          <c:idx val="6"/>
          <c:order val="6"/>
          <c:tx>
            <c:strRef>
              <c:f>'First three graphs'!$AR$3</c:f>
              <c:strCache>
                <c:ptCount val="1"/>
                <c:pt idx="0">
                  <c:v>PF 0.95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'First three graphs'!$AK$4:$AK$103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'First three graphs'!$AR$4:$AR$103</c:f>
              <c:numCache>
                <c:formatCode>General</c:formatCode>
                <c:ptCount val="100"/>
                <c:pt idx="0">
                  <c:v>11502.386587720684</c:v>
                </c:pt>
                <c:pt idx="1">
                  <c:v>16266.83111201298</c:v>
                </c:pt>
                <c:pt idx="2">
                  <c:v>19922.71797823103</c:v>
                </c:pt>
                <c:pt idx="3">
                  <c:v>23004.773175441369</c:v>
                </c:pt>
                <c:pt idx="4">
                  <c:v>25720.118313625298</c:v>
                </c:pt>
                <c:pt idx="5">
                  <c:v>28174.977964148613</c:v>
                </c:pt>
                <c:pt idx="6">
                  <c:v>30432.454394833763</c:v>
                </c:pt>
                <c:pt idx="7">
                  <c:v>32533.66222402596</c:v>
                </c:pt>
                <c:pt idx="8">
                  <c:v>34507.159763162053</c:v>
                </c:pt>
                <c:pt idx="9">
                  <c:v>36373.740144969517</c:v>
                </c:pt>
                <c:pt idx="10">
                  <c:v>38149.10050508588</c:v>
                </c:pt>
                <c:pt idx="11">
                  <c:v>39845.435956462061</c:v>
                </c:pt>
                <c:pt idx="12">
                  <c:v>41472.444632236191</c:v>
                </c:pt>
                <c:pt idx="13">
                  <c:v>43037.989741474601</c:v>
                </c:pt>
                <c:pt idx="14">
                  <c:v>44548.551695881768</c:v>
                </c:pt>
                <c:pt idx="15">
                  <c:v>46009.546350882738</c:v>
                </c:pt>
                <c:pt idx="16">
                  <c:v>47425.55484786028</c:v>
                </c:pt>
                <c:pt idx="17">
                  <c:v>48800.493336038926</c:v>
                </c:pt>
                <c:pt idx="18">
                  <c:v>50137.740745412106</c:v>
                </c:pt>
                <c:pt idx="19">
                  <c:v>51440.236627250597</c:v>
                </c:pt>
                <c:pt idx="20">
                  <c:v>52710.557210874846</c:v>
                </c:pt>
                <c:pt idx="21">
                  <c:v>53950.975326626736</c:v>
                </c:pt>
                <c:pt idx="22">
                  <c:v>55163.508190720277</c:v>
                </c:pt>
                <c:pt idx="23">
                  <c:v>56349.955928297226</c:v>
                </c:pt>
                <c:pt idx="24">
                  <c:v>57511.932938603422</c:v>
                </c:pt>
                <c:pt idx="25">
                  <c:v>58650.893663675692</c:v>
                </c:pt>
                <c:pt idx="26">
                  <c:v>59768.153934693102</c:v>
                </c:pt>
                <c:pt idx="27">
                  <c:v>60864.908789667526</c:v>
                </c:pt>
                <c:pt idx="28">
                  <c:v>61942.247450249364</c:v>
                </c:pt>
                <c:pt idx="29">
                  <c:v>63001.165992394934</c:v>
                </c:pt>
                <c:pt idx="30">
                  <c:v>64042.578130605238</c:v>
                </c:pt>
                <c:pt idx="31">
                  <c:v>65067.324448051921</c:v>
                </c:pt>
                <c:pt idx="32">
                  <c:v>66076.180337860249</c:v>
                </c:pt>
                <c:pt idx="33">
                  <c:v>67069.862868913086</c:v>
                </c:pt>
                <c:pt idx="34">
                  <c:v>68049.036749010513</c:v>
                </c:pt>
                <c:pt idx="35">
                  <c:v>69014.319526324107</c:v>
                </c:pt>
                <c:pt idx="36">
                  <c:v>69966.28614479216</c:v>
                </c:pt>
                <c:pt idx="37">
                  <c:v>70905.472948907933</c:v>
                </c:pt>
                <c:pt idx="38">
                  <c:v>71832.381217120259</c:v>
                </c:pt>
                <c:pt idx="39">
                  <c:v>72747.480289939034</c:v>
                </c:pt>
                <c:pt idx="40">
                  <c:v>73651.210348156819</c:v>
                </c:pt>
                <c:pt idx="41">
                  <c:v>74543.984887862156</c:v>
                </c:pt>
                <c:pt idx="42">
                  <c:v>75426.192931734244</c:v>
                </c:pt>
                <c:pt idx="43">
                  <c:v>76298.201010171761</c:v>
                </c:pt>
                <c:pt idx="44">
                  <c:v>77160.354940875899</c:v>
                </c:pt>
                <c:pt idx="45">
                  <c:v>78012.981431395936</c:v>
                </c:pt>
                <c:pt idx="46">
                  <c:v>78856.389525698571</c:v>
                </c:pt>
                <c:pt idx="47">
                  <c:v>79690.871912924122</c:v>
                </c:pt>
                <c:pt idx="48">
                  <c:v>80516.706114044791</c:v>
                </c:pt>
                <c:pt idx="49">
                  <c:v>81334.155560064886</c:v>
                </c:pt>
                <c:pt idx="50">
                  <c:v>82143.470573638479</c:v>
                </c:pt>
                <c:pt idx="51">
                  <c:v>82944.889264472382</c:v>
                </c:pt>
                <c:pt idx="52">
                  <c:v>83738.638347592947</c:v>
                </c:pt>
                <c:pt idx="53">
                  <c:v>84524.933892445857</c:v>
                </c:pt>
                <c:pt idx="54">
                  <c:v>85303.982009843588</c:v>
                </c:pt>
                <c:pt idx="55">
                  <c:v>86075.979482949202</c:v>
                </c:pt>
                <c:pt idx="56">
                  <c:v>86841.114347770039</c:v>
                </c:pt>
                <c:pt idx="57">
                  <c:v>87599.566428012928</c:v>
                </c:pt>
                <c:pt idx="58">
                  <c:v>88351.507828611633</c:v>
                </c:pt>
                <c:pt idx="59">
                  <c:v>89097.103391763536</c:v>
                </c:pt>
                <c:pt idx="60">
                  <c:v>89836.511118898503</c:v>
                </c:pt>
                <c:pt idx="61">
                  <c:v>90569.882561640508</c:v>
                </c:pt>
                <c:pt idx="62">
                  <c:v>91297.363184501301</c:v>
                </c:pt>
                <c:pt idx="63">
                  <c:v>92019.092701765476</c:v>
                </c:pt>
                <c:pt idx="64">
                  <c:v>92735.205390776391</c:v>
                </c:pt>
                <c:pt idx="65">
                  <c:v>93445.830383612411</c:v>
                </c:pt>
                <c:pt idx="66">
                  <c:v>94151.091938947997</c:v>
                </c:pt>
                <c:pt idx="67">
                  <c:v>94851.109695720559</c:v>
                </c:pt>
                <c:pt idx="68">
                  <c:v>95545.998910069437</c:v>
                </c:pt>
                <c:pt idx="69">
                  <c:v>96235.870676875813</c:v>
                </c:pt>
                <c:pt idx="70">
                  <c:v>96920.832137109435</c:v>
                </c:pt>
                <c:pt idx="71">
                  <c:v>97600.986672077852</c:v>
                </c:pt>
                <c:pt idx="72">
                  <c:v>98276.434085575645</c:v>
                </c:pt>
                <c:pt idx="73">
                  <c:v>98947.270774841862</c:v>
                </c:pt>
                <c:pt idx="74">
                  <c:v>99613.589891155178</c:v>
                </c:pt>
                <c:pt idx="75">
                  <c:v>100275.48149082421</c:v>
                </c:pt>
                <c:pt idx="76">
                  <c:v>100933.0326772658</c:v>
                </c:pt>
                <c:pt idx="77">
                  <c:v>101586.32773480585</c:v>
                </c:pt>
                <c:pt idx="78">
                  <c:v>102235.44825478469</c:v>
                </c:pt>
                <c:pt idx="79">
                  <c:v>102880.47325450119</c:v>
                </c:pt>
                <c:pt idx="80">
                  <c:v>103521.47928948615</c:v>
                </c:pt>
                <c:pt idx="81">
                  <c:v>104158.54055955703</c:v>
                </c:pt>
                <c:pt idx="82">
                  <c:v>104791.72900906953</c:v>
                </c:pt>
                <c:pt idx="83">
                  <c:v>105421.11442174969</c:v>
                </c:pt>
                <c:pt idx="84">
                  <c:v>106046.76451046029</c:v>
                </c:pt>
                <c:pt idx="85">
                  <c:v>106668.74500222826</c:v>
                </c:pt>
                <c:pt idx="86">
                  <c:v>107287.11971883565</c:v>
                </c:pt>
                <c:pt idx="87">
                  <c:v>107901.95065325347</c:v>
                </c:pt>
                <c:pt idx="88">
                  <c:v>108513.29804217788</c:v>
                </c:pt>
                <c:pt idx="89">
                  <c:v>109121.22043490854</c:v>
                </c:pt>
                <c:pt idx="90">
                  <c:v>109725.77475879256</c:v>
                </c:pt>
                <c:pt idx="91">
                  <c:v>110327.01638144055</c:v>
                </c:pt>
                <c:pt idx="92">
                  <c:v>110924.99916990772</c:v>
                </c:pt>
                <c:pt idx="93">
                  <c:v>111519.77554701861</c:v>
                </c:pt>
                <c:pt idx="94">
                  <c:v>112111.39654500243</c:v>
                </c:pt>
                <c:pt idx="95">
                  <c:v>112699.91185659445</c:v>
                </c:pt>
                <c:pt idx="96">
                  <c:v>113285.36988374771</c:v>
                </c:pt>
                <c:pt idx="97">
                  <c:v>113867.81778409085</c:v>
                </c:pt>
                <c:pt idx="98">
                  <c:v>114447.30151525763</c:v>
                </c:pt>
                <c:pt idx="99">
                  <c:v>115023.86587720684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40D-48CE-97A9-677BDA8DEDD5}"/>
            </c:ext>
          </c:extLst>
        </c:ser>
        <c:ser>
          <c:idx val="7"/>
          <c:order val="7"/>
          <c:tx>
            <c:strRef>
              <c:f>'First three graphs'!$AS$3</c:f>
              <c:strCache>
                <c:ptCount val="1"/>
                <c:pt idx="0">
                  <c:v>PF 0.99</c:v>
                </c:pt>
              </c:strCache>
            </c:strRef>
          </c:tx>
          <c:spPr>
            <a:ln w="28575" cap="rnd">
              <a:solidFill>
                <a:srgbClr val="92D050"/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'First three graphs'!$AK$4:$AK$103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'First three graphs'!$AS$4:$AS$103</c:f>
              <c:numCache>
                <c:formatCode>General</c:formatCode>
                <c:ptCount val="100"/>
                <c:pt idx="0">
                  <c:v>15140.896630775187</c:v>
                </c:pt>
                <c:pt idx="1">
                  <c:v>21412.461361731373</c:v>
                </c:pt>
                <c:pt idx="2">
                  <c:v>26224.802236651052</c:v>
                </c:pt>
                <c:pt idx="3">
                  <c:v>30281.793261550374</c:v>
                </c:pt>
                <c:pt idx="4">
                  <c:v>33856.074106710854</c:v>
                </c:pt>
                <c:pt idx="5">
                  <c:v>37087.470993624192</c:v>
                </c:pt>
                <c:pt idx="6">
                  <c:v>40059.047111566892</c:v>
                </c:pt>
                <c:pt idx="7">
                  <c:v>42824.922723462747</c:v>
                </c:pt>
                <c:pt idx="8">
                  <c:v>45422.689892325558</c:v>
                </c:pt>
                <c:pt idx="9">
                  <c:v>47879.719170419063</c:v>
                </c:pt>
                <c:pt idx="10">
                  <c:v>50216.673113837533</c:v>
                </c:pt>
                <c:pt idx="11">
                  <c:v>52449.604473302104</c:v>
                </c:pt>
                <c:pt idx="12">
                  <c:v>54591.279158759884</c:v>
                </c:pt>
                <c:pt idx="13">
                  <c:v>56652.047720920651</c:v>
                </c:pt>
                <c:pt idx="14">
                  <c:v>58640.440497640288</c:v>
                </c:pt>
                <c:pt idx="15">
                  <c:v>60563.586523100748</c:v>
                </c:pt>
                <c:pt idx="16">
                  <c:v>62427.516075244654</c:v>
                </c:pt>
                <c:pt idx="17">
                  <c:v>64237.384085194106</c:v>
                </c:pt>
                <c:pt idx="18">
                  <c:v>65997.638328144516</c:v>
                </c:pt>
                <c:pt idx="19">
                  <c:v>67712.148213421708</c:v>
                </c:pt>
                <c:pt idx="20">
                  <c:v>69384.304900029136</c:v>
                </c:pt>
                <c:pt idx="21">
                  <c:v>71017.1001748454</c:v>
                </c:pt>
                <c:pt idx="22">
                  <c:v>72613.189353090973</c:v>
                </c:pt>
                <c:pt idx="23">
                  <c:v>74174.941987248385</c:v>
                </c:pt>
                <c:pt idx="24">
                  <c:v>75704.483153875932</c:v>
                </c:pt>
                <c:pt idx="25">
                  <c:v>77203.727373613918</c:v>
                </c:pt>
                <c:pt idx="26">
                  <c:v>78674.406709953168</c:v>
                </c:pt>
                <c:pt idx="27">
                  <c:v>80118.094223133783</c:v>
                </c:pt>
                <c:pt idx="28">
                  <c:v>81536.223684511919</c:v>
                </c:pt>
                <c:pt idx="29">
                  <c:v>82930.106255295381</c:v>
                </c:pt>
                <c:pt idx="30">
                  <c:v>84300.944682123227</c:v>
                </c:pt>
                <c:pt idx="31">
                  <c:v>85649.845446925494</c:v>
                </c:pt>
                <c:pt idx="32">
                  <c:v>86977.829220244617</c:v>
                </c:pt>
                <c:pt idx="33">
                  <c:v>88285.839898875405</c:v>
                </c:pt>
                <c:pt idx="34">
                  <c:v>89574.752455330163</c:v>
                </c:pt>
                <c:pt idx="35">
                  <c:v>90845.379784651115</c:v>
                </c:pt>
                <c:pt idx="36">
                  <c:v>92098.478700797859</c:v>
                </c:pt>
                <c:pt idx="37">
                  <c:v>93334.755208256363</c:v>
                </c:pt>
                <c:pt idx="38">
                  <c:v>94554.869153148102</c:v>
                </c:pt>
                <c:pt idx="39">
                  <c:v>95759.438340838125</c:v>
                </c:pt>
                <c:pt idx="40">
                  <c:v>96949.042192981942</c:v>
                </c:pt>
                <c:pt idx="41">
                  <c:v>98124.225005451211</c:v>
                </c:pt>
                <c:pt idx="42">
                  <c:v>99285.498859119572</c:v>
                </c:pt>
                <c:pt idx="43">
                  <c:v>100433.34622767507</c:v>
                </c:pt>
                <c:pt idx="44">
                  <c:v>101568.22232013257</c:v>
                </c:pt>
                <c:pt idx="45">
                  <c:v>102690.55719030689</c:v>
                </c:pt>
                <c:pt idx="46">
                  <c:v>103800.75764097058</c:v>
                </c:pt>
                <c:pt idx="47">
                  <c:v>104899.20894660421</c:v>
                </c:pt>
                <c:pt idx="48">
                  <c:v>105986.27641542631</c:v>
                </c:pt>
                <c:pt idx="49">
                  <c:v>107062.30680865685</c:v>
                </c:pt>
                <c:pt idx="50">
                  <c:v>108127.62963264657</c:v>
                </c:pt>
                <c:pt idx="51">
                  <c:v>109182.55831751977</c:v>
                </c:pt>
                <c:pt idx="52">
                  <c:v>110227.3912942805</c:v>
                </c:pt>
                <c:pt idx="53">
                  <c:v>111262.41298087261</c:v>
                </c:pt>
                <c:pt idx="54">
                  <c:v>112287.89468642676</c:v>
                </c:pt>
                <c:pt idx="55">
                  <c:v>113304.0954418413</c:v>
                </c:pt>
                <c:pt idx="56">
                  <c:v>114311.26276390138</c:v>
                </c:pt>
                <c:pt idx="57">
                  <c:v>115309.63335932314</c:v>
                </c:pt>
                <c:pt idx="58">
                  <c:v>116299.43377439695</c:v>
                </c:pt>
                <c:pt idx="59">
                  <c:v>117280.88099528058</c:v>
                </c:pt>
                <c:pt idx="60">
                  <c:v>118254.18300344804</c:v>
                </c:pt>
                <c:pt idx="61">
                  <c:v>119219.53929032272</c:v>
                </c:pt>
                <c:pt idx="62">
                  <c:v>120177.14133470069</c:v>
                </c:pt>
                <c:pt idx="63">
                  <c:v>121127.1730462015</c:v>
                </c:pt>
                <c:pt idx="64">
                  <c:v>122069.81117765464</c:v>
                </c:pt>
                <c:pt idx="65">
                  <c:v>123005.22570904084</c:v>
                </c:pt>
                <c:pt idx="66">
                  <c:v>123933.58020534992</c:v>
                </c:pt>
                <c:pt idx="67">
                  <c:v>124855.03215048931</c:v>
                </c:pt>
                <c:pt idx="68">
                  <c:v>125769.73325917304</c:v>
                </c:pt>
                <c:pt idx="69">
                  <c:v>126677.82976854063</c:v>
                </c:pt>
                <c:pt idx="70">
                  <c:v>127579.46271109303</c:v>
                </c:pt>
                <c:pt idx="71">
                  <c:v>128474.76817038821</c:v>
                </c:pt>
                <c:pt idx="72">
                  <c:v>129363.87752080876</c:v>
                </c:pt>
                <c:pt idx="73">
                  <c:v>130246.91765259797</c:v>
                </c:pt>
                <c:pt idx="74">
                  <c:v>131124.01118325529</c:v>
                </c:pt>
                <c:pt idx="75">
                  <c:v>131995.27665628903</c:v>
                </c:pt>
                <c:pt idx="76">
                  <c:v>132860.82872823763</c:v>
                </c:pt>
                <c:pt idx="77">
                  <c:v>133720.77834479546</c:v>
                </c:pt>
                <c:pt idx="78">
                  <c:v>134575.23290680841</c:v>
                </c:pt>
                <c:pt idx="79">
                  <c:v>135424.29642684342</c:v>
                </c:pt>
                <c:pt idx="80">
                  <c:v>136268.06967697668</c:v>
                </c:pt>
                <c:pt idx="81">
                  <c:v>137106.6503283965</c:v>
                </c:pt>
                <c:pt idx="82">
                  <c:v>137940.13308336705</c:v>
                </c:pt>
                <c:pt idx="83">
                  <c:v>138768.60980005827</c:v>
                </c:pt>
                <c:pt idx="84">
                  <c:v>139592.16961070793</c:v>
                </c:pt>
                <c:pt idx="85">
                  <c:v>140410.89903354534</c:v>
                </c:pt>
                <c:pt idx="86">
                  <c:v>141224.8820788755</c:v>
                </c:pt>
                <c:pt idx="87">
                  <c:v>142034.2003496908</c:v>
                </c:pt>
                <c:pt idx="88">
                  <c:v>142838.93313715252</c:v>
                </c:pt>
                <c:pt idx="89">
                  <c:v>143639.15751125716</c:v>
                </c:pt>
                <c:pt idx="90">
                  <c:v>144434.94840698203</c:v>
                </c:pt>
                <c:pt idx="91">
                  <c:v>145226.37870618195</c:v>
                </c:pt>
                <c:pt idx="92">
                  <c:v>146013.51931549079</c:v>
                </c:pt>
                <c:pt idx="93">
                  <c:v>146796.43924046328</c:v>
                </c:pt>
                <c:pt idx="94">
                  <c:v>147575.20565617667</c:v>
                </c:pt>
                <c:pt idx="95">
                  <c:v>148349.88397449677</c:v>
                </c:pt>
                <c:pt idx="96">
                  <c:v>149120.53790819854</c:v>
                </c:pt>
                <c:pt idx="97">
                  <c:v>149887.22953211959</c:v>
                </c:pt>
                <c:pt idx="98">
                  <c:v>150650.01934151258</c:v>
                </c:pt>
                <c:pt idx="99">
                  <c:v>151408.96630775186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40D-48CE-97A9-677BDA8DEDD5}"/>
            </c:ext>
          </c:extLst>
        </c:ser>
        <c:ser>
          <c:idx val="8"/>
          <c:order val="8"/>
          <c:tx>
            <c:strRef>
              <c:f>'First three graphs'!$AT$3</c:f>
              <c:strCache>
                <c:ptCount val="1"/>
                <c:pt idx="0">
                  <c:v>PF 0.995</c:v>
                </c:pt>
              </c:strCache>
            </c:strRef>
          </c:tx>
          <c:spPr>
            <a:ln w="28575" cap="rnd">
              <a:solidFill>
                <a:srgbClr val="92D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'First three graphs'!$AK$4:$AK$103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'First three graphs'!$AT$4:$AT$103</c:f>
              <c:numCache>
                <c:formatCode>General</c:formatCode>
                <c:ptCount val="100"/>
                <c:pt idx="0">
                  <c:v>16431.980839600976</c:v>
                </c:pt>
                <c:pt idx="1">
                  <c:v>23238.33016001854</c:v>
                </c:pt>
                <c:pt idx="2">
                  <c:v>28461.025683187188</c:v>
                </c:pt>
                <c:pt idx="3">
                  <c:v>32863.961679201951</c:v>
                </c:pt>
                <c:pt idx="4">
                  <c:v>36743.026162321854</c:v>
                </c:pt>
                <c:pt idx="5">
                  <c:v>40249.9685202123</c:v>
                </c:pt>
                <c:pt idx="6">
                  <c:v>43474.934849762518</c:v>
                </c:pt>
                <c:pt idx="7">
                  <c:v>46476.660320037081</c:v>
                </c:pt>
                <c:pt idx="8">
                  <c:v>49295.942518802927</c:v>
                </c:pt>
                <c:pt idx="9">
                  <c:v>51962.485921385021</c:v>
                </c:pt>
                <c:pt idx="10">
                  <c:v>54498.715007265535</c:v>
                </c:pt>
                <c:pt idx="11">
                  <c:v>56922.051366374377</c:v>
                </c:pt>
                <c:pt idx="12">
                  <c:v>59246.349474623123</c:v>
                </c:pt>
                <c:pt idx="13">
                  <c:v>61482.842487820861</c:v>
                </c:pt>
                <c:pt idx="14">
                  <c:v>63640.788136973948</c:v>
                </c:pt>
                <c:pt idx="15">
                  <c:v>65727.923358403903</c:v>
                </c:pt>
                <c:pt idx="16">
                  <c:v>67750.792639800391</c:v>
                </c:pt>
                <c:pt idx="17">
                  <c:v>69714.990480055611</c:v>
                </c:pt>
                <c:pt idx="18">
                  <c:v>71625.343922017288</c:v>
                </c:pt>
                <c:pt idx="19">
                  <c:v>73486.052324643708</c:v>
                </c:pt>
                <c:pt idx="20">
                  <c:v>75300.796015535481</c:v>
                </c:pt>
                <c:pt idx="21">
                  <c:v>77072.821895181056</c:v>
                </c:pt>
                <c:pt idx="22">
                  <c:v>78805.011701028954</c:v>
                </c:pt>
                <c:pt idx="23">
                  <c:v>80499.9370404246</c:v>
                </c:pt>
                <c:pt idx="24">
                  <c:v>82159.904198004879</c:v>
                </c:pt>
                <c:pt idx="25">
                  <c:v>83786.990948108127</c:v>
                </c:pt>
                <c:pt idx="26">
                  <c:v>85383.077049561572</c:v>
                </c:pt>
                <c:pt idx="27">
                  <c:v>86949.869699525036</c:v>
                </c:pt>
                <c:pt idx="28">
                  <c:v>88488.924928927649</c:v>
                </c:pt>
                <c:pt idx="29">
                  <c:v>90001.665703421328</c:v>
                </c:pt>
                <c:pt idx="30">
                  <c:v>91489.397329436048</c:v>
                </c:pt>
                <c:pt idx="31">
                  <c:v>92953.320640074162</c:v>
                </c:pt>
                <c:pt idx="32">
                  <c:v>94394.543339800352</c:v>
                </c:pt>
                <c:pt idx="33">
                  <c:v>95814.089812732986</c:v>
                </c:pt>
                <c:pt idx="34">
                  <c:v>97212.909641443577</c:v>
                </c:pt>
                <c:pt idx="35">
                  <c:v>98591.885037605854</c:v>
                </c:pt>
                <c:pt idx="36">
                  <c:v>99951.837349703084</c:v>
                </c:pt>
                <c:pt idx="37">
                  <c:v>101293.53278415417</c:v>
                </c:pt>
                <c:pt idx="38">
                  <c:v>102617.68745302894</c:v>
                </c:pt>
                <c:pt idx="39">
                  <c:v>103924.97184277004</c:v>
                </c:pt>
                <c:pt idx="40">
                  <c:v>105216.01478308118</c:v>
                </c:pt>
                <c:pt idx="41">
                  <c:v>106491.40698266022</c:v>
                </c:pt>
                <c:pt idx="42">
                  <c:v>107751.70418819178</c:v>
                </c:pt>
                <c:pt idx="43">
                  <c:v>108997.43001453107</c:v>
                </c:pt>
                <c:pt idx="44">
                  <c:v>110229.07848696556</c:v>
                </c:pt>
                <c:pt idx="45">
                  <c:v>111447.11633056561</c:v>
                </c:pt>
                <c:pt idx="46">
                  <c:v>112651.98503671224</c:v>
                </c:pt>
                <c:pt idx="47">
                  <c:v>113844.10273274875</c:v>
                </c:pt>
                <c:pt idx="48">
                  <c:v>115023.86587720684</c:v>
                </c:pt>
                <c:pt idx="49">
                  <c:v>116191.6508000927</c:v>
                </c:pt>
                <c:pt idx="50">
                  <c:v>117347.81510519782</c:v>
                </c:pt>
                <c:pt idx="51">
                  <c:v>118492.69894924625</c:v>
                </c:pt>
                <c:pt idx="52">
                  <c:v>119626.62621084705</c:v>
                </c:pt>
                <c:pt idx="53">
                  <c:v>120749.90556063692</c:v>
                </c:pt>
                <c:pt idx="54">
                  <c:v>121862.83144263369</c:v>
                </c:pt>
                <c:pt idx="55">
                  <c:v>122965.68497564172</c:v>
                </c:pt>
                <c:pt idx="56">
                  <c:v>124058.73478252863</c:v>
                </c:pt>
                <c:pt idx="57">
                  <c:v>125142.23775430417</c:v>
                </c:pt>
                <c:pt idx="58">
                  <c:v>126216.43975515946</c:v>
                </c:pt>
                <c:pt idx="59">
                  <c:v>127281.5762739479</c:v>
                </c:pt>
                <c:pt idx="60">
                  <c:v>128337.87302699787</c:v>
                </c:pt>
                <c:pt idx="61">
                  <c:v>129385.54651662929</c:v>
                </c:pt>
                <c:pt idx="62">
                  <c:v>130424.80454928755</c:v>
                </c:pt>
                <c:pt idx="63">
                  <c:v>131455.84671680781</c:v>
                </c:pt>
                <c:pt idx="64">
                  <c:v>132478.86484396626</c:v>
                </c:pt>
                <c:pt idx="65">
                  <c:v>133494.04340516057</c:v>
                </c:pt>
                <c:pt idx="66">
                  <c:v>134501.55991278283</c:v>
                </c:pt>
                <c:pt idx="67">
                  <c:v>135501.58527960078</c:v>
                </c:pt>
                <c:pt idx="68">
                  <c:v>136494.28415724204</c:v>
                </c:pt>
                <c:pt idx="69">
                  <c:v>137479.81525267975</c:v>
                </c:pt>
                <c:pt idx="70">
                  <c:v>138458.33162444204</c:v>
                </c:pt>
                <c:pt idx="71">
                  <c:v>139429.98096011122</c:v>
                </c:pt>
                <c:pt idx="72">
                  <c:v>140394.90583653664</c:v>
                </c:pt>
                <c:pt idx="73">
                  <c:v>141353.2439640598</c:v>
                </c:pt>
                <c:pt idx="74">
                  <c:v>142305.12841593596</c:v>
                </c:pt>
                <c:pt idx="75">
                  <c:v>143250.68784403458</c:v>
                </c:pt>
                <c:pt idx="76">
                  <c:v>144190.04668180828</c:v>
                </c:pt>
                <c:pt idx="77">
                  <c:v>145123.32533543691</c:v>
                </c:pt>
                <c:pt idx="78">
                  <c:v>146050.64036397811</c:v>
                </c:pt>
                <c:pt idx="79">
                  <c:v>146972.10464928742</c:v>
                </c:pt>
                <c:pt idx="80">
                  <c:v>147887.82755640877</c:v>
                </c:pt>
                <c:pt idx="81">
                  <c:v>148797.91508508148</c:v>
                </c:pt>
                <c:pt idx="82">
                  <c:v>149702.47001295647</c:v>
                </c:pt>
                <c:pt idx="83">
                  <c:v>150601.59203107096</c:v>
                </c:pt>
                <c:pt idx="84">
                  <c:v>151495.3778720861</c:v>
                </c:pt>
                <c:pt idx="85">
                  <c:v>152383.92143175463</c:v>
                </c:pt>
                <c:pt idx="86">
                  <c:v>153267.31388405093</c:v>
                </c:pt>
                <c:pt idx="87">
                  <c:v>154145.64379036211</c:v>
                </c:pt>
                <c:pt idx="88">
                  <c:v>155018.99720311124</c:v>
                </c:pt>
                <c:pt idx="89">
                  <c:v>155887.45776415503</c:v>
                </c:pt>
                <c:pt idx="90">
                  <c:v>156751.10679827508</c:v>
                </c:pt>
                <c:pt idx="91">
                  <c:v>157610.02340205791</c:v>
                </c:pt>
                <c:pt idx="92">
                  <c:v>158464.2845284396</c:v>
                </c:pt>
                <c:pt idx="93">
                  <c:v>159313.96506716943</c:v>
                </c:pt>
                <c:pt idx="94">
                  <c:v>160159.13792143203</c:v>
                </c:pt>
                <c:pt idx="95">
                  <c:v>160999.8740808492</c:v>
                </c:pt>
                <c:pt idx="96">
                  <c:v>161836.24269106815</c:v>
                </c:pt>
                <c:pt idx="97">
                  <c:v>162668.31112012977</c:v>
                </c:pt>
                <c:pt idx="98">
                  <c:v>163496.1450217966</c:v>
                </c:pt>
                <c:pt idx="99">
                  <c:v>164319.80839600976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40D-48CE-97A9-677BDA8DE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4369056"/>
        <c:axId val="634373976"/>
      </c:lineChart>
      <c:catAx>
        <c:axId val="634369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in Days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373976"/>
        <c:crosses val="autoZero"/>
        <c:auto val="1"/>
        <c:lblAlgn val="ctr"/>
        <c:lblOffset val="100"/>
        <c:noMultiLvlLbl val="0"/>
      </c:catAx>
      <c:valAx>
        <c:axId val="634373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Potential Loss</a:t>
                </a:r>
                <a:r>
                  <a:rPr lang="en-US" baseline="0"/>
                  <a:t> in USD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369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448964126872143"/>
          <c:y val="9.0907545700868952E-2"/>
          <c:w val="0.10863781829129344"/>
          <c:h val="0.799977474618835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392206</xdr:colOff>
      <xdr:row>144</xdr:row>
      <xdr:rowOff>183215</xdr:rowOff>
    </xdr:from>
    <xdr:to>
      <xdr:col>25</xdr:col>
      <xdr:colOff>308161</xdr:colOff>
      <xdr:row>179</xdr:row>
      <xdr:rowOff>138545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F571A7-B952-6A09-FC02-08F2DDF687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95</xdr:col>
      <xdr:colOff>883694</xdr:colOff>
      <xdr:row>9</xdr:row>
      <xdr:rowOff>171018</xdr:rowOff>
    </xdr:from>
    <xdr:to>
      <xdr:col>102</xdr:col>
      <xdr:colOff>1534206</xdr:colOff>
      <xdr:row>42</xdr:row>
      <xdr:rowOff>51954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E9CC0AE-8F7B-1279-A55D-201953DF4C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82</xdr:col>
      <xdr:colOff>381000</xdr:colOff>
      <xdr:row>134</xdr:row>
      <xdr:rowOff>31172</xdr:rowOff>
    </xdr:from>
    <xdr:to>
      <xdr:col>89</xdr:col>
      <xdr:colOff>86591</xdr:colOff>
      <xdr:row>155</xdr:row>
      <xdr:rowOff>173181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AF62DB8-C0F2-A65F-077F-B4B01DE925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227541</xdr:colOff>
      <xdr:row>0</xdr:row>
      <xdr:rowOff>58813</xdr:rowOff>
    </xdr:from>
    <xdr:to>
      <xdr:col>15</xdr:col>
      <xdr:colOff>317501</xdr:colOff>
      <xdr:row>21</xdr:row>
      <xdr:rowOff>181428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2C1BF8-03B2-198E-AD7C-4D50F95CCE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304801</xdr:colOff>
      <xdr:row>5</xdr:row>
      <xdr:rowOff>9463</xdr:rowOff>
    </xdr:from>
    <xdr:to>
      <xdr:col>34</xdr:col>
      <xdr:colOff>0</xdr:colOff>
      <xdr:row>38</xdr:row>
      <xdr:rowOff>38101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E3C4D95-B785-7BF9-5B39-B992681A2B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</xdr:col>
      <xdr:colOff>0</xdr:colOff>
      <xdr:row>5</xdr:row>
      <xdr:rowOff>0</xdr:rowOff>
    </xdr:from>
    <xdr:to>
      <xdr:col>52</xdr:col>
      <xdr:colOff>514350</xdr:colOff>
      <xdr:row>38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AB6A68A-E800-F1A7-A099-63A2A0928A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8A7238F-5A1A-478F-BEB5-013C53125B7C}" autoFormatId="16" applyNumberFormats="0" applyBorderFormats="0" applyFontFormats="0" applyPatternFormats="0" applyAlignmentFormats="0" applyWidthHeightFormats="0">
  <queryTableRefresh nextId="11" unboundColumnsRight="1">
    <queryTableFields count="8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FFC46424-46DC-42DA-8440-9A2C5F5D8BF2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2EDFA7-1E26-4FEB-91DF-F0ABD212F06B}" name="ENPH" displayName="ENPH" ref="A4:H129" tableType="queryTable" totalsRowShown="0">
  <autoFilter ref="A4:H129" xr:uid="{532EDFA7-1E26-4FEB-91DF-F0ABD212F06B}"/>
  <tableColumns count="8">
    <tableColumn id="1" xr3:uid="{779D6AB8-3975-4CFB-A90C-FFF53325E937}" uniqueName="1" name="Date" queryTableFieldId="1" dataDxfId="3"/>
    <tableColumn id="2" xr3:uid="{2E9135EC-A15A-4B6D-9689-01ADC340FBE7}" uniqueName="2" name="Open" queryTableFieldId="2"/>
    <tableColumn id="3" xr3:uid="{DE68A3F6-D5B2-4035-AA43-9D2CE124EC85}" uniqueName="3" name="High" queryTableFieldId="3"/>
    <tableColumn id="4" xr3:uid="{A12172DF-FFD1-47E2-8C3F-188DE69FD6C6}" uniqueName="4" name="Low" queryTableFieldId="4"/>
    <tableColumn id="5" xr3:uid="{6F4368FB-474E-44B4-A632-1C15D1975B98}" uniqueName="5" name="Close" queryTableFieldId="5"/>
    <tableColumn id="6" xr3:uid="{C9D36A80-C244-4D81-A574-5301CA8DC49C}" uniqueName="6" name="Adj Close" queryTableFieldId="6"/>
    <tableColumn id="7" xr3:uid="{EF85B80B-F66A-448C-BC65-6F4BA77A2B7A}" uniqueName="7" name="Volume" queryTableFieldId="7"/>
    <tableColumn id="8" xr3:uid="{CB7DA6A3-1B50-4270-B5DE-2E9770A083EC}" uniqueName="8" name="Daily returns " queryTableFieldId="8" dataDxfId="2">
      <calculatedColumnFormula xml:space="preserve"> (ENPH[[#This Row],[Close]]-E4)/E4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5AA07D7-9A4F-4167-B26E-3B0F8DA37259}" name="SEDG4" displayName="SEDG4" ref="K4:R129" tableType="queryTable" totalsRowShown="0">
  <autoFilter ref="K4:R129" xr:uid="{95AA07D7-9A4F-4167-B26E-3B0F8DA37259}"/>
  <tableColumns count="8">
    <tableColumn id="1" xr3:uid="{76078F89-122E-484A-B77E-DE72A9D65368}" uniqueName="1" name="Date" queryTableFieldId="1" dataDxfId="1"/>
    <tableColumn id="2" xr3:uid="{03BE58C5-A7D3-4656-85D7-80B19A80B2F7}" uniqueName="2" name="Open" queryTableFieldId="2"/>
    <tableColumn id="3" xr3:uid="{08B01F27-9AF2-4F4B-9085-9261EEEFCE7F}" uniqueName="3" name="High" queryTableFieldId="3"/>
    <tableColumn id="4" xr3:uid="{C8B034E8-A9C2-4A4D-A36C-1A1D9A121C69}" uniqueName="4" name="Low" queryTableFieldId="4"/>
    <tableColumn id="5" xr3:uid="{5D0A334E-EF29-4997-AC17-CFCB86CEF0A2}" uniqueName="5" name="Close" queryTableFieldId="5"/>
    <tableColumn id="6" xr3:uid="{9518345A-8782-4D8F-8D69-4687EEF6901C}" uniqueName="6" name="Adj Close" queryTableFieldId="6"/>
    <tableColumn id="7" xr3:uid="{4A0D83A1-66FA-4431-8C58-CE46282EFB2B}" uniqueName="7" name="Volume" queryTableFieldId="7"/>
    <tableColumn id="8" xr3:uid="{81032084-97EF-4206-BCCF-D92C60D24B24}" uniqueName="8" name="Daily returns " queryTableFieldId="8" dataDxfId="0">
      <calculatedColumnFormula xml:space="preserve"> (SEDG4[[#This Row],[Close]]-O4)/O4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14C48-9D15-4B2D-9CAC-5207409C4C1C}">
  <sheetPr codeName="Sheet2"/>
  <dimension ref="A1:DD246"/>
  <sheetViews>
    <sheetView tabSelected="1" topLeftCell="AW1" zoomScale="55" zoomScaleNormal="55" workbookViewId="0">
      <selection activeCell="BB5" sqref="BB5"/>
    </sheetView>
  </sheetViews>
  <sheetFormatPr defaultRowHeight="15" x14ac:dyDescent="0.25"/>
  <cols>
    <col min="1" max="2" width="13.42578125" customWidth="1"/>
    <col min="3" max="3" width="16.7109375" customWidth="1"/>
    <col min="4" max="4" width="12" customWidth="1"/>
    <col min="5" max="5" width="11.85546875" customWidth="1"/>
    <col min="6" max="6" width="7.7109375" customWidth="1"/>
    <col min="7" max="7" width="7.85546875" customWidth="1"/>
    <col min="8" max="8" width="10" customWidth="1"/>
    <col min="9" max="10" width="26.7109375" bestFit="1" customWidth="1"/>
    <col min="11" max="11" width="13.85546875" customWidth="1"/>
    <col min="12" max="12" width="11.28515625" customWidth="1"/>
    <col min="13" max="13" width="9.7109375" customWidth="1"/>
    <col min="14" max="14" width="9.5703125" customWidth="1"/>
    <col min="15" max="15" width="6.7109375" customWidth="1"/>
    <col min="16" max="16" width="10.42578125" bestFit="1" customWidth="1"/>
    <col min="17" max="17" width="20.7109375" bestFit="1" customWidth="1"/>
    <col min="18" max="18" width="16.5703125" bestFit="1" customWidth="1"/>
    <col min="19" max="19" width="11.5703125" customWidth="1"/>
    <col min="20" max="20" width="16" bestFit="1" customWidth="1"/>
    <col min="21" max="21" width="15.7109375" customWidth="1"/>
    <col min="22" max="22" width="12.5703125" bestFit="1" customWidth="1"/>
    <col min="23" max="23" width="13" bestFit="1" customWidth="1"/>
    <col min="24" max="24" width="15.42578125" customWidth="1"/>
    <col min="25" max="25" width="12.140625" bestFit="1" customWidth="1"/>
    <col min="26" max="27" width="22.7109375" bestFit="1" customWidth="1"/>
    <col min="28" max="28" width="24.7109375" bestFit="1" customWidth="1"/>
    <col min="29" max="29" width="12.5703125" bestFit="1" customWidth="1"/>
    <col min="31" max="31" width="10.28515625" bestFit="1" customWidth="1"/>
    <col min="32" max="32" width="22.7109375" bestFit="1" customWidth="1"/>
    <col min="33" max="34" width="24.7109375" bestFit="1" customWidth="1"/>
    <col min="36" max="36" width="10.28515625" bestFit="1" customWidth="1"/>
    <col min="37" max="37" width="22.7109375" bestFit="1" customWidth="1"/>
    <col min="38" max="39" width="24.7109375" bestFit="1" customWidth="1"/>
    <col min="41" max="41" width="10.28515625" bestFit="1" customWidth="1"/>
    <col min="42" max="42" width="9.140625" customWidth="1"/>
    <col min="43" max="43" width="22.7109375" bestFit="1" customWidth="1"/>
    <col min="44" max="44" width="24.7109375" bestFit="1" customWidth="1"/>
    <col min="45" max="45" width="10.140625" customWidth="1"/>
    <col min="46" max="46" width="24.7109375" bestFit="1" customWidth="1"/>
    <col min="47" max="47" width="14.5703125" bestFit="1" customWidth="1"/>
    <col min="48" max="48" width="24.7109375" bestFit="1" customWidth="1"/>
    <col min="49" max="49" width="14.5703125" bestFit="1" customWidth="1"/>
    <col min="50" max="50" width="24.7109375" bestFit="1" customWidth="1"/>
    <col min="51" max="51" width="14.5703125" bestFit="1" customWidth="1"/>
    <col min="53" max="53" width="10.28515625" bestFit="1" customWidth="1"/>
    <col min="54" max="56" width="12.85546875" bestFit="1" customWidth="1"/>
    <col min="58" max="58" width="9.42578125" bestFit="1" customWidth="1"/>
    <col min="59" max="59" width="11.85546875" customWidth="1"/>
    <col min="60" max="61" width="20.7109375" bestFit="1" customWidth="1"/>
    <col min="62" max="62" width="22.7109375" bestFit="1" customWidth="1"/>
    <col min="63" max="63" width="12.5703125" bestFit="1" customWidth="1"/>
    <col min="64" max="64" width="10.28515625" bestFit="1" customWidth="1"/>
    <col min="65" max="66" width="20.7109375" bestFit="1" customWidth="1"/>
    <col min="67" max="67" width="22.7109375" bestFit="1" customWidth="1"/>
    <col min="69" max="69" width="10.28515625" bestFit="1" customWidth="1"/>
    <col min="70" max="72" width="22.7109375" bestFit="1" customWidth="1"/>
    <col min="74" max="76" width="14.5703125" bestFit="1" customWidth="1"/>
    <col min="78" max="78" width="11.85546875" customWidth="1"/>
    <col min="80" max="80" width="9.42578125" bestFit="1" customWidth="1"/>
    <col min="81" max="81" width="10.28515625" bestFit="1" customWidth="1"/>
    <col min="82" max="82" width="9.42578125" bestFit="1" customWidth="1"/>
    <col min="83" max="83" width="14.5703125" customWidth="1"/>
    <col min="84" max="84" width="18.7109375" bestFit="1" customWidth="1"/>
    <col min="85" max="85" width="15.140625" customWidth="1"/>
    <col min="86" max="86" width="9.42578125" bestFit="1" customWidth="1"/>
    <col min="87" max="87" width="18.42578125" customWidth="1"/>
    <col min="88" max="88" width="13.42578125" customWidth="1"/>
    <col min="89" max="90" width="12" bestFit="1" customWidth="1"/>
    <col min="92" max="92" width="14.42578125" customWidth="1"/>
    <col min="94" max="94" width="10.28515625" bestFit="1" customWidth="1"/>
    <col min="95" max="95" width="13.140625" customWidth="1"/>
    <col min="96" max="98" width="22.5703125" bestFit="1" customWidth="1"/>
    <col min="99" max="99" width="24.5703125" bestFit="1" customWidth="1"/>
    <col min="100" max="101" width="22.5703125" bestFit="1" customWidth="1"/>
    <col min="102" max="103" width="24.5703125" bestFit="1" customWidth="1"/>
  </cols>
  <sheetData>
    <row r="1" spans="1:108" x14ac:dyDescent="0.25">
      <c r="A1" s="6" t="s">
        <v>8</v>
      </c>
      <c r="D1" t="s">
        <v>11</v>
      </c>
      <c r="I1" t="s">
        <v>12</v>
      </c>
      <c r="J1">
        <f xml:space="preserve"> AVERAGE(H$6:H$128)</f>
        <v>-1.7032467183512559E-3</v>
      </c>
      <c r="K1" s="6" t="s">
        <v>9</v>
      </c>
      <c r="N1" t="s">
        <v>10</v>
      </c>
      <c r="S1" t="s">
        <v>13</v>
      </c>
      <c r="T1">
        <f xml:space="preserve"> AVERAGE(R$6:R$129)</f>
        <v>-1.8687506931652303E-3</v>
      </c>
      <c r="V1" t="s">
        <v>28</v>
      </c>
      <c r="W1" t="s">
        <v>18</v>
      </c>
      <c r="AE1" t="s">
        <v>33</v>
      </c>
      <c r="AH1">
        <f xml:space="preserve"> Z5*J2</f>
        <v>22588.249081215905</v>
      </c>
      <c r="AO1" t="s">
        <v>39</v>
      </c>
      <c r="AQ1">
        <f xml:space="preserve"> SQRT(AH1^2 + AH2^2 + 2*T5*AH1*AH2)</f>
        <v>41275.159052800904</v>
      </c>
      <c r="BA1" t="s">
        <v>50</v>
      </c>
      <c r="BB1">
        <v>0.94</v>
      </c>
      <c r="BD1" t="s">
        <v>54</v>
      </c>
      <c r="BF1">
        <f xml:space="preserve"> _xlfn.STDEV.P(BB$5:BB$128)</f>
        <v>7.4159512006409141E-3</v>
      </c>
      <c r="BH1" t="s">
        <v>59</v>
      </c>
      <c r="BK1">
        <f xml:space="preserve"> 500000*BF1</f>
        <v>3707.975600320457</v>
      </c>
    </row>
    <row r="2" spans="1:108" x14ac:dyDescent="0.25">
      <c r="A2" t="s">
        <v>26</v>
      </c>
      <c r="I2" t="s">
        <v>14</v>
      </c>
      <c r="J2">
        <f xml:space="preserve"> _xlfn.STDEV.P(H$6:H$129)</f>
        <v>4.5176498162431813E-2</v>
      </c>
      <c r="K2" t="s">
        <v>27</v>
      </c>
      <c r="S2" t="s">
        <v>14</v>
      </c>
      <c r="T2">
        <f xml:space="preserve"> _xlfn.STDEV.P(R$6:R$129)</f>
        <v>4.0548381333254863E-2</v>
      </c>
      <c r="AE2" t="s">
        <v>34</v>
      </c>
      <c r="AH2">
        <f xml:space="preserve"> AA5*T2</f>
        <v>20274.190666627434</v>
      </c>
      <c r="AO2" t="s">
        <v>40</v>
      </c>
      <c r="AQ2">
        <f xml:space="preserve"> X5*T8</f>
        <v>41235.031022414863</v>
      </c>
      <c r="BD2" t="s">
        <v>55</v>
      </c>
      <c r="BF2">
        <f xml:space="preserve"> _xlfn.STDEV.P(BC$5:BC$128)</f>
        <v>5.1963858162356359E-3</v>
      </c>
      <c r="BH2" t="s">
        <v>57</v>
      </c>
      <c r="BK2">
        <f xml:space="preserve"> 500000*BF2</f>
        <v>2598.1929081178178</v>
      </c>
    </row>
    <row r="3" spans="1:108" x14ac:dyDescent="0.25">
      <c r="I3" t="s">
        <v>31</v>
      </c>
      <c r="J3">
        <f xml:space="preserve"> J2*SQRT(252)</f>
        <v>0.71715467545536626</v>
      </c>
      <c r="S3" t="s">
        <v>31</v>
      </c>
      <c r="T3">
        <f xml:space="preserve"> T2*SQRT(252)</f>
        <v>0.64368559844403617</v>
      </c>
      <c r="V3" s="17" t="s">
        <v>25</v>
      </c>
      <c r="W3" s="18"/>
      <c r="X3" s="19"/>
      <c r="Z3" s="17" t="s">
        <v>24</v>
      </c>
      <c r="AA3" s="18"/>
      <c r="AB3" s="18"/>
      <c r="AC3" s="19"/>
      <c r="AE3" s="16" t="s">
        <v>35</v>
      </c>
      <c r="AF3" s="16"/>
      <c r="AG3" s="16"/>
      <c r="AH3" s="16"/>
      <c r="AJ3" s="16" t="s">
        <v>38</v>
      </c>
      <c r="AK3" s="16"/>
      <c r="AL3" s="16"/>
      <c r="AM3" s="16"/>
      <c r="AO3" s="16" t="s">
        <v>41</v>
      </c>
      <c r="AP3" s="16"/>
      <c r="AQ3" s="16"/>
      <c r="AR3" s="16"/>
      <c r="AT3" t="s">
        <v>48</v>
      </c>
      <c r="BD3" t="s">
        <v>56</v>
      </c>
      <c r="BF3">
        <f xml:space="preserve"> _xlfn.STDEV.P(BD$5:BD$128)</f>
        <v>5.8685645855717774E-3</v>
      </c>
      <c r="BH3" t="s">
        <v>58</v>
      </c>
      <c r="BK3">
        <f xml:space="preserve"> 1000000*BF3</f>
        <v>5868.5645855717776</v>
      </c>
      <c r="CB3" s="16" t="s">
        <v>81</v>
      </c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Q3" s="16" t="s">
        <v>118</v>
      </c>
      <c r="CR3" s="16"/>
      <c r="CS3" s="16"/>
      <c r="CT3" s="16"/>
      <c r="CU3" s="16"/>
      <c r="CV3" s="16"/>
      <c r="CW3" s="16"/>
      <c r="CX3" s="16"/>
      <c r="CY3" s="16"/>
    </row>
    <row r="4" spans="1:108" x14ac:dyDescent="0.25">
      <c r="A4" t="s">
        <v>0</v>
      </c>
      <c r="B4" t="s">
        <v>1</v>
      </c>
      <c r="C4" t="s">
        <v>2</v>
      </c>
      <c r="D4" t="s">
        <v>3</v>
      </c>
      <c r="E4" t="s">
        <v>4</v>
      </c>
      <c r="F4" t="s">
        <v>5</v>
      </c>
      <c r="G4" t="s">
        <v>6</v>
      </c>
      <c r="H4" t="s">
        <v>7</v>
      </c>
      <c r="K4" t="s">
        <v>0</v>
      </c>
      <c r="L4" t="s">
        <v>1</v>
      </c>
      <c r="M4" t="s">
        <v>2</v>
      </c>
      <c r="N4" t="s">
        <v>3</v>
      </c>
      <c r="O4" t="s">
        <v>4</v>
      </c>
      <c r="P4" t="s">
        <v>5</v>
      </c>
      <c r="Q4" t="s">
        <v>6</v>
      </c>
      <c r="R4" t="s">
        <v>7</v>
      </c>
      <c r="T4" t="s">
        <v>15</v>
      </c>
      <c r="V4" t="s">
        <v>16</v>
      </c>
      <c r="W4" t="s">
        <v>17</v>
      </c>
      <c r="X4" t="s">
        <v>19</v>
      </c>
      <c r="Y4" t="s">
        <v>30</v>
      </c>
      <c r="Z4" t="s">
        <v>21</v>
      </c>
      <c r="AA4" t="s">
        <v>22</v>
      </c>
      <c r="AB4" t="s">
        <v>23</v>
      </c>
      <c r="AC4" t="s">
        <v>20</v>
      </c>
      <c r="AE4" t="s">
        <v>37</v>
      </c>
      <c r="AF4" s="2">
        <v>0.95</v>
      </c>
      <c r="AG4" s="2">
        <v>0.99</v>
      </c>
      <c r="AH4" s="3">
        <v>0.995</v>
      </c>
      <c r="AJ4" t="s">
        <v>36</v>
      </c>
      <c r="AK4" s="2">
        <v>0.95</v>
      </c>
      <c r="AL4" s="2">
        <v>0.99</v>
      </c>
      <c r="AM4" s="3">
        <v>0.995</v>
      </c>
      <c r="AO4" t="s">
        <v>36</v>
      </c>
      <c r="AP4" s="2">
        <v>0.95</v>
      </c>
      <c r="AQ4" s="2">
        <v>0.99</v>
      </c>
      <c r="AR4" s="3">
        <v>0.995</v>
      </c>
      <c r="AT4" t="s">
        <v>44</v>
      </c>
      <c r="AU4" t="s">
        <v>42</v>
      </c>
      <c r="AV4" t="s">
        <v>43</v>
      </c>
      <c r="AW4" t="s">
        <v>45</v>
      </c>
      <c r="AX4" t="s">
        <v>46</v>
      </c>
      <c r="AY4" t="s">
        <v>47</v>
      </c>
      <c r="BA4" t="s">
        <v>49</v>
      </c>
      <c r="BB4" t="s">
        <v>51</v>
      </c>
      <c r="BC4" t="s">
        <v>52</v>
      </c>
      <c r="BD4" t="s">
        <v>53</v>
      </c>
      <c r="BG4" s="20" t="s">
        <v>60</v>
      </c>
      <c r="BH4" s="20"/>
      <c r="BI4" s="20"/>
      <c r="BJ4" s="20"/>
      <c r="BL4" s="21" t="s">
        <v>61</v>
      </c>
      <c r="BM4" s="21"/>
      <c r="BN4" s="21"/>
      <c r="BO4" s="21"/>
      <c r="BQ4" s="16" t="s">
        <v>63</v>
      </c>
      <c r="BR4" s="16"/>
      <c r="BS4" s="16"/>
      <c r="BT4" s="16"/>
      <c r="BV4" t="s">
        <v>65</v>
      </c>
      <c r="CB4" t="s">
        <v>72</v>
      </c>
      <c r="CC4" t="s">
        <v>78</v>
      </c>
      <c r="CD4" t="s">
        <v>74</v>
      </c>
      <c r="CG4" t="s">
        <v>73</v>
      </c>
      <c r="CH4" t="s">
        <v>74</v>
      </c>
      <c r="CK4" t="s">
        <v>30</v>
      </c>
      <c r="CL4" t="s">
        <v>74</v>
      </c>
    </row>
    <row r="5" spans="1:108" x14ac:dyDescent="0.25">
      <c r="A5" s="1">
        <v>44498</v>
      </c>
      <c r="B5">
        <v>225</v>
      </c>
      <c r="C5">
        <v>237</v>
      </c>
      <c r="D5">
        <v>225</v>
      </c>
      <c r="E5">
        <v>231.63000500000001</v>
      </c>
      <c r="F5">
        <v>231.63000500000001</v>
      </c>
      <c r="G5">
        <v>4171300</v>
      </c>
      <c r="H5" t="e">
        <f xml:space="preserve"> (ENPH[[#This Row],[Close]]-E4)/E4</f>
        <v>#VALUE!</v>
      </c>
      <c r="K5" s="1">
        <v>44498</v>
      </c>
      <c r="L5">
        <v>351.43499800000001</v>
      </c>
      <c r="M5">
        <v>359.17001299999998</v>
      </c>
      <c r="N5">
        <v>348.60000600000001</v>
      </c>
      <c r="O5">
        <v>354.67999300000002</v>
      </c>
      <c r="P5">
        <v>354.67999300000002</v>
      </c>
      <c r="Q5">
        <v>616600</v>
      </c>
      <c r="R5" t="e">
        <f xml:space="preserve"> (SEDG4[[#This Row],[Close]]-O4)/O4</f>
        <v>#VALUE!</v>
      </c>
      <c r="T5">
        <f xml:space="preserve"> CORREL(H$6:H$1048576,R$6:R$1048576)</f>
        <v>0.85418984970053802</v>
      </c>
      <c r="V5">
        <f xml:space="preserve"> 500000/E5</f>
        <v>2158.6149859988991</v>
      </c>
      <c r="W5">
        <f xml:space="preserve"> 500000/O5</f>
        <v>1409.721466866049</v>
      </c>
      <c r="X5">
        <f t="shared" ref="X5:X36" si="0" xml:space="preserve"> $V$5*E5+$W$5*O5</f>
        <v>1000000</v>
      </c>
      <c r="Z5">
        <f xml:space="preserve"> V5*ENPH[[#This Row],[Close]]</f>
        <v>499999.99999999994</v>
      </c>
      <c r="AA5">
        <f xml:space="preserve"> W5*SEDG4[[#This Row],[Close]]</f>
        <v>500000.00000000006</v>
      </c>
      <c r="AB5">
        <f xml:space="preserve"> SUM(Z5,AA5)</f>
        <v>1000000</v>
      </c>
      <c r="AC5" t="b">
        <f>X5=AB5</f>
        <v>1</v>
      </c>
      <c r="AE5">
        <v>1</v>
      </c>
      <c r="AF5">
        <f xml:space="preserve"> $AH$1*SQRT(AE5)*1.96</f>
        <v>44272.968199183175</v>
      </c>
      <c r="AG5">
        <f xml:space="preserve"> $AH$1*SQRT(AE5)*2.58</f>
        <v>58277.682629537034</v>
      </c>
      <c r="AH5">
        <f xml:space="preserve"> $AH$1*SQRT(AE5)*2.8</f>
        <v>63247.097427404529</v>
      </c>
      <c r="AJ5">
        <v>1</v>
      </c>
      <c r="AK5">
        <f xml:space="preserve"> $AH$2*SQRT(AJ5)*1.96</f>
        <v>39737.413706589767</v>
      </c>
      <c r="AL5">
        <f xml:space="preserve"> $AH$2*SQRT(AJ5)*2.58</f>
        <v>52307.411919898783</v>
      </c>
      <c r="AM5">
        <f xml:space="preserve"> $AH$2*SQRT(AJ5)*2.8</f>
        <v>56767.73386655681</v>
      </c>
      <c r="AO5">
        <v>1</v>
      </c>
      <c r="AP5">
        <f xml:space="preserve"> $AQ$2*SQRT(AO5)*1.96</f>
        <v>80820.660803933133</v>
      </c>
      <c r="AQ5">
        <f xml:space="preserve"> $AQ$2*SQRT(AO5)*2.58</f>
        <v>106386.38003783036</v>
      </c>
      <c r="AR5">
        <f xml:space="preserve"> $AQ$2*SQRT(AO5)*2.8</f>
        <v>115458.08686276161</v>
      </c>
      <c r="AS5">
        <f xml:space="preserve"> SQRT(AF5^2 + AK5^2 + 2*T5*AF5*AK5)</f>
        <v>80899.311743489772</v>
      </c>
      <c r="AT5">
        <f xml:space="preserve"> AF5+AK5</f>
        <v>84010.381905772942</v>
      </c>
      <c r="AU5" t="b">
        <f xml:space="preserve"> AT5=AP5</f>
        <v>0</v>
      </c>
      <c r="AV5">
        <f xml:space="preserve"> AG5+AL5</f>
        <v>110585.09454943582</v>
      </c>
      <c r="AW5" t="b">
        <f xml:space="preserve"> AV5=AQ5</f>
        <v>0</v>
      </c>
      <c r="AX5">
        <f xml:space="preserve"> AH5+AM5</f>
        <v>120014.83129396134</v>
      </c>
      <c r="AY5" t="b">
        <f xml:space="preserve"> AX5=AR5</f>
        <v>0</v>
      </c>
      <c r="BA5">
        <v>1</v>
      </c>
      <c r="BB5">
        <f xml:space="preserve"> H6*$BB$1^BA5</f>
        <v>3.2059725422878577E-2</v>
      </c>
      <c r="BC5">
        <f xml:space="preserve"> R6*$BB$1^BA5</f>
        <v>1.6564227235676077E-2</v>
      </c>
      <c r="BD5">
        <f xml:space="preserve"> Y6*$BB$1^BA5</f>
        <v>2.4311976329277309E-2</v>
      </c>
      <c r="BG5" t="s">
        <v>37</v>
      </c>
      <c r="BH5" s="2">
        <v>0.95</v>
      </c>
      <c r="BI5" s="2">
        <v>0.99</v>
      </c>
      <c r="BJ5" s="3">
        <v>0.995</v>
      </c>
      <c r="BL5" t="s">
        <v>62</v>
      </c>
      <c r="BM5" s="2">
        <v>0.95</v>
      </c>
      <c r="BN5" s="2">
        <v>0.99</v>
      </c>
      <c r="BO5" s="3">
        <v>0.995</v>
      </c>
      <c r="BQ5" t="s">
        <v>64</v>
      </c>
      <c r="BR5" s="2">
        <v>0.95</v>
      </c>
      <c r="BS5" s="2">
        <v>0.99</v>
      </c>
      <c r="BT5" s="3">
        <v>0.995</v>
      </c>
      <c r="BV5" s="2">
        <v>0.95</v>
      </c>
      <c r="BW5" s="2">
        <v>0.99</v>
      </c>
      <c r="BX5" s="3">
        <v>0.995</v>
      </c>
      <c r="CQ5" s="10" t="s">
        <v>102</v>
      </c>
      <c r="CR5" s="10" t="s">
        <v>103</v>
      </c>
      <c r="CS5" s="10" t="s">
        <v>104</v>
      </c>
      <c r="CT5" t="s">
        <v>105</v>
      </c>
      <c r="CU5" t="s">
        <v>106</v>
      </c>
      <c r="CV5" t="s">
        <v>107</v>
      </c>
      <c r="CW5" t="s">
        <v>108</v>
      </c>
      <c r="CX5" t="s">
        <v>109</v>
      </c>
      <c r="CY5" t="s">
        <v>110</v>
      </c>
      <c r="DB5" s="2">
        <v>0.95</v>
      </c>
      <c r="DC5" s="2">
        <v>0.99</v>
      </c>
      <c r="DD5" s="3">
        <v>0.995</v>
      </c>
    </row>
    <row r="6" spans="1:108" x14ac:dyDescent="0.25">
      <c r="A6" s="1">
        <v>44501</v>
      </c>
      <c r="B6">
        <v>233.03999300000001</v>
      </c>
      <c r="C6">
        <v>239.88999899999999</v>
      </c>
      <c r="D6">
        <v>232.11999499999999</v>
      </c>
      <c r="E6">
        <v>239.529999</v>
      </c>
      <c r="F6">
        <v>239.529999</v>
      </c>
      <c r="G6">
        <v>2631000</v>
      </c>
      <c r="H6">
        <f xml:space="preserve"> (ENPH[[#This Row],[Close]]-E5)/E5</f>
        <v>3.4106090875402742E-2</v>
      </c>
      <c r="K6" s="1">
        <v>44501</v>
      </c>
      <c r="L6">
        <v>360</v>
      </c>
      <c r="M6">
        <v>371.07998700000002</v>
      </c>
      <c r="N6">
        <v>356.75</v>
      </c>
      <c r="O6">
        <v>360.92999300000002</v>
      </c>
      <c r="P6">
        <v>360.92999300000002</v>
      </c>
      <c r="Q6">
        <v>879100</v>
      </c>
      <c r="R6">
        <f xml:space="preserve"> (SEDG4[[#This Row],[Close]]-O5)/O5</f>
        <v>1.7621518335825613E-2</v>
      </c>
      <c r="V6">
        <f xml:space="preserve"> X6/(2*ENPH[[#This Row],[Close]])</f>
        <v>2141.4098628322836</v>
      </c>
      <c r="W6">
        <f xml:space="preserve"> X6/(2*SEDG4[[#This Row],[Close]])</f>
        <v>1421.1395900888931</v>
      </c>
      <c r="X6">
        <f t="shared" si="0"/>
        <v>1025863.8046056142</v>
      </c>
      <c r="Y6">
        <f xml:space="preserve"> (X6-X5)/X5</f>
        <v>2.586380460561416E-2</v>
      </c>
      <c r="Z6">
        <f xml:space="preserve"> V6*ENPH[[#This Row],[Close]]</f>
        <v>512931.90230280702</v>
      </c>
      <c r="AA6">
        <f xml:space="preserve"> W6*SEDG4[[#This Row],[Close]]</f>
        <v>512931.90230280708</v>
      </c>
      <c r="AB6">
        <f t="shared" ref="AB6:AB69" si="1" xml:space="preserve"> SUM(Z6,AA6)</f>
        <v>1025863.8046056142</v>
      </c>
      <c r="AC6" t="b">
        <f t="shared" ref="AC6:AC69" si="2">X6=AB6</f>
        <v>1</v>
      </c>
      <c r="AE6">
        <v>2</v>
      </c>
      <c r="AF6">
        <f t="shared" ref="AF6:AF69" si="3" xml:space="preserve"> $AH$1*SQRT(AE6)*1.96</f>
        <v>62611.432073797587</v>
      </c>
      <c r="AG6">
        <f t="shared" ref="AG6:AG69" si="4" xml:space="preserve"> $AH$1*SQRT(AE6)*2.58</f>
        <v>82417.089158366216</v>
      </c>
      <c r="AH6">
        <f t="shared" ref="AH6:AH69" si="5" xml:space="preserve"> $AH$1*SQRT(AE6)*2.8</f>
        <v>89444.902962567983</v>
      </c>
      <c r="AJ6">
        <v>2</v>
      </c>
      <c r="AK6">
        <f t="shared" ref="AK6:AK69" si="6" xml:space="preserve"> $AH$2*SQRT(AJ6)*1.96</f>
        <v>56197.189397489776</v>
      </c>
      <c r="AL6">
        <f t="shared" ref="AL6:AL69" si="7" xml:space="preserve"> $AH$2*SQRT(AJ6)*2.58</f>
        <v>73973.851349756951</v>
      </c>
      <c r="AM6">
        <f t="shared" ref="AM6:AM69" si="8" xml:space="preserve"> $AH$2*SQRT(AJ6)*2.8</f>
        <v>80281.699139271106</v>
      </c>
      <c r="AO6">
        <v>2</v>
      </c>
      <c r="AP6">
        <f t="shared" ref="AP6:AP69" si="9" xml:space="preserve"> $AQ$2*SQRT(AO6)*1.96</f>
        <v>114297.67462887785</v>
      </c>
      <c r="AQ6">
        <f t="shared" ref="AQ6:AQ69" si="10" xml:space="preserve"> $AQ$2*SQRT(AO6)*2.58</f>
        <v>150453.06150127802</v>
      </c>
      <c r="AR6">
        <f t="shared" ref="AR6:AR69" si="11" xml:space="preserve"> $AQ$2*SQRT(AO6)*2.8</f>
        <v>163282.39232696837</v>
      </c>
      <c r="AT6">
        <f t="shared" ref="AT6:AT69" si="12" xml:space="preserve"> AF6+AK6</f>
        <v>118808.62147128736</v>
      </c>
      <c r="AU6" t="b">
        <f t="shared" ref="AU6:AU69" si="13" xml:space="preserve"> AT6=AP6</f>
        <v>0</v>
      </c>
      <c r="AV6">
        <f t="shared" ref="AV6:AV69" si="14" xml:space="preserve"> AG6+AL6</f>
        <v>156390.94050812317</v>
      </c>
      <c r="AW6" t="b">
        <f t="shared" ref="AW6:AW69" si="15" xml:space="preserve"> AV6=AQ6</f>
        <v>0</v>
      </c>
      <c r="AX6">
        <f t="shared" ref="AX6:AX69" si="16" xml:space="preserve"> AH6+AM6</f>
        <v>169726.60210183909</v>
      </c>
      <c r="AY6" t="b">
        <f t="shared" ref="AY6:AY69" si="17" xml:space="preserve"> AX6=AR6</f>
        <v>0</v>
      </c>
      <c r="BA6">
        <v>2</v>
      </c>
      <c r="BB6">
        <f t="shared" ref="BB6:BB69" si="18" xml:space="preserve"> H7*$BB$1^BA6</f>
        <v>-7.0826628809863325E-3</v>
      </c>
      <c r="BC6">
        <f t="shared" ref="BC6:BC69" si="19" xml:space="preserve"> R7*$BB$1^BA6</f>
        <v>-1.4125626518381385E-2</v>
      </c>
      <c r="BD6">
        <f t="shared" ref="BD6:BD69" si="20" xml:space="preserve"> Y7*$BB$1^BA6</f>
        <v>-1.0575851410542264E-2</v>
      </c>
      <c r="BG6">
        <v>1</v>
      </c>
      <c r="BH6">
        <f xml:space="preserve"> $BK$1*SQRT(BG6)*1.96</f>
        <v>7267.6321766280953</v>
      </c>
      <c r="BI6">
        <f xml:space="preserve"> $BK$1*SQRT(BG6)*2.58</f>
        <v>9566.577048826779</v>
      </c>
      <c r="BJ6">
        <f xml:space="preserve"> $BK$1*SQRT(BG6)*2.8</f>
        <v>10382.33168089728</v>
      </c>
      <c r="BL6">
        <v>1</v>
      </c>
      <c r="BM6">
        <f xml:space="preserve"> $BK$2*SQRT(BL6)*1.96</f>
        <v>5092.458099910923</v>
      </c>
      <c r="BN6">
        <f xml:space="preserve"> $BK$2*SQRT(BL6)*2.58</f>
        <v>6703.3377029439698</v>
      </c>
      <c r="BO6">
        <f xml:space="preserve"> $BK$2*SQRT(BL6)*2.8</f>
        <v>7274.940142729889</v>
      </c>
      <c r="BQ6">
        <v>1</v>
      </c>
      <c r="BR6">
        <f xml:space="preserve"> $BK$3*SQRT(BQ6)*1.96</f>
        <v>11502.386587720684</v>
      </c>
      <c r="BS6">
        <f xml:space="preserve"> $BK$3*SQRT(BQ6)*2.58</f>
        <v>15140.896630775187</v>
      </c>
      <c r="BT6">
        <f xml:space="preserve"> $BK$3*SQRT(BQ6)*2.8</f>
        <v>16431.980839600976</v>
      </c>
      <c r="BV6" t="b">
        <f xml:space="preserve"> BH6+BM6=BR6</f>
        <v>0</v>
      </c>
      <c r="BW6" t="b">
        <f xml:space="preserve"> BI6+BN6=BS6</f>
        <v>0</v>
      </c>
      <c r="BX6" t="b">
        <f xml:space="preserve"> BJ6+BO6=BT6</f>
        <v>0</v>
      </c>
      <c r="CB6">
        <v>3.4106090875402742E-2</v>
      </c>
      <c r="CC6">
        <v>1</v>
      </c>
      <c r="CD6" cm="1">
        <f t="array" ref="CD6:CD129" xml:space="preserve"> _xlfn._xlws.SORT(CB$6:CB$129)</f>
        <v>-0.12306055633820956</v>
      </c>
      <c r="CE6" s="4" t="s">
        <v>75</v>
      </c>
      <c r="CF6" s="11">
        <v>0.05</v>
      </c>
      <c r="CG6">
        <v>1.7621518335825613E-2</v>
      </c>
      <c r="CH6" cm="1">
        <f t="array" ref="CH6:CH129" xml:space="preserve"> _xlfn._xlws.SORT(CG$6:CG$129)</f>
        <v>-0.10555658773294266</v>
      </c>
      <c r="CI6" s="4" t="s">
        <v>75</v>
      </c>
      <c r="CJ6" s="11">
        <v>0.05</v>
      </c>
      <c r="CK6">
        <v>2.586380460561416E-2</v>
      </c>
      <c r="CL6" cm="1">
        <f t="array" ref="CL6:CL129" xml:space="preserve"> _xlfn._xlws.SORT(CK$6:CK$129)</f>
        <v>-0.11009599461353467</v>
      </c>
      <c r="CM6" s="13" t="s">
        <v>83</v>
      </c>
      <c r="CN6" s="14"/>
      <c r="CP6">
        <v>1</v>
      </c>
      <c r="CQ6">
        <f xml:space="preserve"> $CF$10*SQRT(CP6)</f>
        <v>32322.0629594905</v>
      </c>
      <c r="CR6">
        <f xml:space="preserve"> $CF$16*SQRT(CP6)</f>
        <v>55558.82449267256</v>
      </c>
      <c r="CS6">
        <f xml:space="preserve"> $CF$23*SQRT(CP6)</f>
        <v>60048.258796693313</v>
      </c>
      <c r="CT6">
        <f xml:space="preserve"> $CJ$11*SQRT(CP6)</f>
        <v>29555.57522192557</v>
      </c>
      <c r="CU6">
        <f t="shared" ref="CU6:CU37" si="21" xml:space="preserve"> $CJ$16*SQRT(CP6)</f>
        <v>47348.841918919476</v>
      </c>
      <c r="CV6">
        <f t="shared" ref="CV6:CV37" si="22" xml:space="preserve"> $CJ$19*SQRT(CP6)</f>
        <v>50304.18801366043</v>
      </c>
      <c r="CW6">
        <f xml:space="preserve"> 1000000*ABS(_xlfn.PERCENTILE.INC(CK6:CK129, 0.05))*SQRT(CP6)</f>
        <v>57215.289857742762</v>
      </c>
      <c r="CX6">
        <f xml:space="preserve"> 1000000*ABS(_xlfn.PERCENTILE.INC(CK6:CK129, 0.01))*SQRT(CP6)</f>
        <v>97134.334612948791</v>
      </c>
      <c r="CY6">
        <f xml:space="preserve"> 1000000*ABS(_xlfn.PERCENTILE.INC(CK6:CK129, 0.005))*SQRT(CP6)</f>
        <v>104967.63622486616</v>
      </c>
      <c r="DB6" t="b">
        <f xml:space="preserve"> CQ6+CT6=CW6</f>
        <v>0</v>
      </c>
      <c r="DC6" t="b">
        <f xml:space="preserve"> CR6+CU6=CX6</f>
        <v>0</v>
      </c>
      <c r="DD6" t="b">
        <f xml:space="preserve"> CS6+CV6=CY6</f>
        <v>0</v>
      </c>
    </row>
    <row r="7" spans="1:108" x14ac:dyDescent="0.25">
      <c r="A7" s="1">
        <v>44502</v>
      </c>
      <c r="B7">
        <v>238.050003</v>
      </c>
      <c r="C7">
        <v>239.029999</v>
      </c>
      <c r="D7">
        <v>228.529999</v>
      </c>
      <c r="E7">
        <v>237.61000100000001</v>
      </c>
      <c r="F7">
        <v>237.61000100000001</v>
      </c>
      <c r="G7">
        <v>2762900</v>
      </c>
      <c r="H7">
        <f xml:space="preserve"> (ENPH[[#This Row],[Close]]-E6)/E6</f>
        <v>-8.0156890912022778E-3</v>
      </c>
      <c r="K7" s="1">
        <v>44502</v>
      </c>
      <c r="L7">
        <v>363.73001099999999</v>
      </c>
      <c r="M7">
        <v>363.73001099999999</v>
      </c>
      <c r="N7">
        <v>348.23998999999998</v>
      </c>
      <c r="O7">
        <v>355.16000400000001</v>
      </c>
      <c r="P7">
        <v>355.16000400000001</v>
      </c>
      <c r="Q7">
        <v>917100</v>
      </c>
      <c r="R7">
        <f xml:space="preserve"> (SEDG4[[#This Row],[Close]]-O6)/O6</f>
        <v>-1.5986449205954489E-2</v>
      </c>
      <c r="T7" t="s">
        <v>29</v>
      </c>
      <c r="V7">
        <f xml:space="preserve"> X7/(2*ENPH[[#This Row],[Close]])</f>
        <v>2132.875692367943</v>
      </c>
      <c r="W7">
        <f xml:space="preserve"> X7/(2*SEDG4[[#This Row],[Close]])</f>
        <v>1426.941631063904</v>
      </c>
      <c r="X7">
        <f t="shared" si="0"/>
        <v>1013585.1907928453</v>
      </c>
      <c r="Y7">
        <f t="shared" ref="Y7:Y70" si="23" xml:space="preserve"> (X7-X6)/X6</f>
        <v>-1.1969048676485135E-2</v>
      </c>
      <c r="Z7">
        <f xml:space="preserve"> V7*ENPH[[#This Row],[Close]]</f>
        <v>506792.59539642266</v>
      </c>
      <c r="AA7">
        <f xml:space="preserve"> W7*SEDG4[[#This Row],[Close]]</f>
        <v>506792.59539642266</v>
      </c>
      <c r="AB7">
        <f t="shared" si="1"/>
        <v>1013585.1907928453</v>
      </c>
      <c r="AC7" t="b">
        <f t="shared" si="2"/>
        <v>1</v>
      </c>
      <c r="AE7">
        <v>3</v>
      </c>
      <c r="AF7">
        <f t="shared" si="3"/>
        <v>76683.030322866427</v>
      </c>
      <c r="AG7">
        <f t="shared" si="4"/>
        <v>100939.90726173234</v>
      </c>
      <c r="AH7">
        <f t="shared" si="5"/>
        <v>109547.18617552347</v>
      </c>
      <c r="AJ7">
        <v>3</v>
      </c>
      <c r="AK7">
        <f t="shared" si="6"/>
        <v>68827.219501197382</v>
      </c>
      <c r="AL7">
        <f t="shared" si="7"/>
        <v>90599.095057698592</v>
      </c>
      <c r="AM7">
        <f t="shared" si="8"/>
        <v>98324.599287424819</v>
      </c>
      <c r="AO7">
        <v>3</v>
      </c>
      <c r="AP7">
        <f t="shared" si="9"/>
        <v>139985.49081370267</v>
      </c>
      <c r="AQ7">
        <f t="shared" si="10"/>
        <v>184266.61545885351</v>
      </c>
      <c r="AR7">
        <f t="shared" si="11"/>
        <v>199979.2725910038</v>
      </c>
      <c r="AT7">
        <f t="shared" si="12"/>
        <v>145510.24982406379</v>
      </c>
      <c r="AU7" t="b">
        <f t="shared" si="13"/>
        <v>0</v>
      </c>
      <c r="AV7">
        <f t="shared" si="14"/>
        <v>191539.00231943093</v>
      </c>
      <c r="AW7" t="b">
        <f t="shared" si="15"/>
        <v>0</v>
      </c>
      <c r="AX7">
        <f t="shared" si="16"/>
        <v>207871.78546294829</v>
      </c>
      <c r="AY7" t="b">
        <f t="shared" si="17"/>
        <v>0</v>
      </c>
      <c r="BA7">
        <v>3</v>
      </c>
      <c r="BB7">
        <f xml:space="preserve"> H8*$BB$1^BA7</f>
        <v>-3.6004405783239858E-3</v>
      </c>
      <c r="BC7">
        <f t="shared" si="19"/>
        <v>-5.0748363776232826E-3</v>
      </c>
      <c r="BD7">
        <f t="shared" si="20"/>
        <v>-4.3287420602072073E-3</v>
      </c>
      <c r="BG7">
        <v>2</v>
      </c>
      <c r="BH7">
        <f t="shared" ref="BH7:BH70" si="24" xml:space="preserve"> $BK$1*SQRT(BG7)*1.96</f>
        <v>10277.983990526551</v>
      </c>
      <c r="BI7">
        <f t="shared" ref="BI7:BI70" si="25" xml:space="preserve"> $BK$1*SQRT(BG7)*2.58</f>
        <v>13529.183007938012</v>
      </c>
      <c r="BJ7">
        <f t="shared" ref="BJ7:BJ70" si="26" xml:space="preserve"> $BK$1*SQRT(BG7)*2.8</f>
        <v>14682.834272180788</v>
      </c>
      <c r="BL7">
        <v>2</v>
      </c>
      <c r="BM7">
        <f t="shared" ref="BM7:BM70" si="27" xml:space="preserve"> $BK$2*SQRT(BL7)*1.96</f>
        <v>7201.8233107107499</v>
      </c>
      <c r="BN7">
        <f t="shared" ref="BN7:BN70" si="28" xml:space="preserve"> $BK$2*SQRT(BL7)*2.58</f>
        <v>9479.9510926702733</v>
      </c>
      <c r="BO7">
        <f t="shared" ref="BO7:BO70" si="29" xml:space="preserve"> $BK$2*SQRT(BL7)*2.8</f>
        <v>10288.319015301071</v>
      </c>
      <c r="BQ7">
        <v>2</v>
      </c>
      <c r="BR7">
        <f t="shared" ref="BR7:BR70" si="30" xml:space="preserve"> $BK$3*SQRT(BQ7)*1.96</f>
        <v>16266.83111201298</v>
      </c>
      <c r="BS7">
        <f t="shared" ref="BS7:BS70" si="31" xml:space="preserve"> $BK$3*SQRT(BQ7)*2.58</f>
        <v>21412.461361731373</v>
      </c>
      <c r="BT7">
        <f t="shared" ref="BT7:BT70" si="32" xml:space="preserve"> $BK$3*SQRT(BQ7)*2.8</f>
        <v>23238.33016001854</v>
      </c>
      <c r="BV7" t="b">
        <f t="shared" ref="BV7:BV70" si="33" xml:space="preserve"> BH7+BM7=BR7</f>
        <v>0</v>
      </c>
      <c r="BW7" t="b">
        <f t="shared" ref="BW7:BW70" si="34" xml:space="preserve"> BI7+BN7=BS7</f>
        <v>0</v>
      </c>
      <c r="BX7" t="b">
        <f t="shared" ref="BX7:BX70" si="35" xml:space="preserve"> BJ7+BO7=BT7</f>
        <v>0</v>
      </c>
      <c r="CB7">
        <v>-8.0156890912022778E-3</v>
      </c>
      <c r="CC7">
        <v>2</v>
      </c>
      <c r="CD7">
        <v>-0.11824098114337553</v>
      </c>
      <c r="CE7" s="13" t="s">
        <v>76</v>
      </c>
      <c r="CF7" s="14">
        <f xml:space="preserve"> COUNT(CD:CD)</f>
        <v>128</v>
      </c>
      <c r="CG7">
        <v>-1.5986449205954489E-2</v>
      </c>
      <c r="CH7">
        <v>-9.7510715040874718E-2</v>
      </c>
      <c r="CI7" s="13" t="s">
        <v>76</v>
      </c>
      <c r="CJ7" s="14">
        <f xml:space="preserve"> COUNT(CH:CH)</f>
        <v>124</v>
      </c>
      <c r="CK7">
        <v>-1.1969048676485135E-2</v>
      </c>
      <c r="CL7">
        <v>-0.10175720048561838</v>
      </c>
      <c r="CM7" s="13" t="s">
        <v>90</v>
      </c>
      <c r="CN7" s="14">
        <f xml:space="preserve"> 1000000*ABS(_xlfn.PERCENTILE.INC(CK6:CK129, 0.05))*SQRT(CP6)</f>
        <v>57215.289857742762</v>
      </c>
      <c r="CP7">
        <v>2</v>
      </c>
      <c r="CQ7">
        <f t="shared" ref="CQ7:CQ70" si="36" xml:space="preserve"> $CF$10*SQRT(CP7)</f>
        <v>45710.299801188528</v>
      </c>
      <c r="CR7">
        <f t="shared" ref="CR7:CR70" si="37" xml:space="preserve"> $CF$16*SQRT(CP7)</f>
        <v>78572.043107044039</v>
      </c>
      <c r="CS7">
        <f t="shared" ref="CS7:CS70" si="38" xml:space="preserve"> $CF$23*SQRT(CP7)</f>
        <v>84921.061987173205</v>
      </c>
      <c r="CT7">
        <f t="shared" ref="CT7:CT70" si="39" xml:space="preserve"> $CJ$11*SQRT(CP7)</f>
        <v>41797.89532258534</v>
      </c>
      <c r="CU7">
        <f t="shared" si="21"/>
        <v>66961.374404395654</v>
      </c>
      <c r="CV7">
        <f t="shared" si="22"/>
        <v>71140.864933084667</v>
      </c>
      <c r="CW7">
        <f xml:space="preserve"> $CW$6*SQRT(CP7)</f>
        <v>80914.638891927607</v>
      </c>
      <c r="CX7">
        <f xml:space="preserve"> $CX$6*SQRT(CP7)</f>
        <v>137368.69338171856</v>
      </c>
      <c r="CY7">
        <f xml:space="preserve"> $CY$6*SQRT(CP7)</f>
        <v>148446.65475945114</v>
      </c>
      <c r="DB7" t="b">
        <f t="shared" ref="DB7:DB70" si="40" xml:space="preserve"> CQ7+CT7=CW7</f>
        <v>0</v>
      </c>
      <c r="DC7" t="b">
        <f t="shared" ref="DC7:DC70" si="41" xml:space="preserve"> CR7+CU7=CX7</f>
        <v>0</v>
      </c>
      <c r="DD7" t="b">
        <f t="shared" ref="DD7:DD70" si="42" xml:space="preserve"> CS7+CV7=CY7</f>
        <v>0</v>
      </c>
    </row>
    <row r="8" spans="1:108" x14ac:dyDescent="0.25">
      <c r="A8" s="1">
        <v>44503</v>
      </c>
      <c r="B8">
        <v>234.449997</v>
      </c>
      <c r="C8">
        <v>238.88000500000001</v>
      </c>
      <c r="D8">
        <v>231.070007</v>
      </c>
      <c r="E8">
        <v>236.58000200000001</v>
      </c>
      <c r="F8">
        <v>236.58000200000001</v>
      </c>
      <c r="G8">
        <v>2158500</v>
      </c>
      <c r="H8">
        <f xml:space="preserve"> (ENPH[[#This Row],[Close]]-E7)/E7</f>
        <v>-4.3348301656713668E-3</v>
      </c>
      <c r="K8" s="1">
        <v>44503</v>
      </c>
      <c r="L8">
        <v>337.41000400000001</v>
      </c>
      <c r="M8">
        <v>353.56500199999999</v>
      </c>
      <c r="N8">
        <v>325.5</v>
      </c>
      <c r="O8">
        <v>352.98998999999998</v>
      </c>
      <c r="P8">
        <v>352.98998999999998</v>
      </c>
      <c r="Q8">
        <v>1089900</v>
      </c>
      <c r="R8">
        <f xml:space="preserve"> (SEDG4[[#This Row],[Close]]-O7)/O7</f>
        <v>-6.1099616385859633E-3</v>
      </c>
      <c r="T8">
        <f xml:space="preserve"> _xlfn.STDEV.P(Y$6:Y$129)</f>
        <v>4.123503102241486E-2</v>
      </c>
      <c r="V8">
        <f xml:space="preserve"> X8/(2*ENPH[[#This Row],[Close]])</f>
        <v>2130.9973279074566</v>
      </c>
      <c r="W8">
        <f xml:space="preserve"> X8/(2*SEDG4[[#This Row],[Close]])</f>
        <v>1428.2312994154333</v>
      </c>
      <c r="X8">
        <f t="shared" si="0"/>
        <v>1008302.7041966815</v>
      </c>
      <c r="Y8">
        <f t="shared" si="23"/>
        <v>-5.211684862948489E-3</v>
      </c>
      <c r="Z8">
        <f xml:space="preserve"> V8*ENPH[[#This Row],[Close]]</f>
        <v>504151.35209834075</v>
      </c>
      <c r="AA8">
        <f xml:space="preserve"> W8*SEDG4[[#This Row],[Close]]</f>
        <v>504151.35209834081</v>
      </c>
      <c r="AB8">
        <f t="shared" si="1"/>
        <v>1008302.7041966815</v>
      </c>
      <c r="AC8" t="b">
        <f t="shared" si="2"/>
        <v>1</v>
      </c>
      <c r="AE8">
        <v>4</v>
      </c>
      <c r="AF8">
        <f t="shared" si="3"/>
        <v>88545.93639836635</v>
      </c>
      <c r="AG8">
        <f t="shared" si="4"/>
        <v>116555.36525907407</v>
      </c>
      <c r="AH8">
        <f t="shared" si="5"/>
        <v>126494.19485480906</v>
      </c>
      <c r="AJ8">
        <v>4</v>
      </c>
      <c r="AK8">
        <f t="shared" si="6"/>
        <v>79474.827413179533</v>
      </c>
      <c r="AL8">
        <f t="shared" si="7"/>
        <v>104614.82383979757</v>
      </c>
      <c r="AM8">
        <f t="shared" si="8"/>
        <v>113535.46773311362</v>
      </c>
      <c r="AO8">
        <v>4</v>
      </c>
      <c r="AP8">
        <f t="shared" si="9"/>
        <v>161641.32160786627</v>
      </c>
      <c r="AQ8">
        <f t="shared" si="10"/>
        <v>212772.76007566071</v>
      </c>
      <c r="AR8">
        <f t="shared" si="11"/>
        <v>230916.17372552323</v>
      </c>
      <c r="AT8">
        <f t="shared" si="12"/>
        <v>168020.76381154588</v>
      </c>
      <c r="AU8" t="b">
        <f t="shared" si="13"/>
        <v>0</v>
      </c>
      <c r="AV8">
        <f t="shared" si="14"/>
        <v>221170.18909887163</v>
      </c>
      <c r="AW8" t="b">
        <f t="shared" si="15"/>
        <v>0</v>
      </c>
      <c r="AX8">
        <f t="shared" si="16"/>
        <v>240029.66258792268</v>
      </c>
      <c r="AY8" t="b">
        <f t="shared" si="17"/>
        <v>0</v>
      </c>
      <c r="BA8">
        <v>4</v>
      </c>
      <c r="BB8">
        <f t="shared" si="18"/>
        <v>1.986690262263097E-2</v>
      </c>
      <c r="BC8">
        <f t="shared" si="19"/>
        <v>-6.989345663447423E-3</v>
      </c>
      <c r="BD8">
        <f t="shared" si="20"/>
        <v>6.6128065445430284E-3</v>
      </c>
      <c r="BG8">
        <v>3</v>
      </c>
      <c r="BH8">
        <f t="shared" si="24"/>
        <v>12587.908180642251</v>
      </c>
      <c r="BI8">
        <f t="shared" si="25"/>
        <v>16569.797503090311</v>
      </c>
      <c r="BJ8">
        <f t="shared" si="26"/>
        <v>17982.72597234607</v>
      </c>
      <c r="BL8">
        <v>3</v>
      </c>
      <c r="BM8">
        <f t="shared" si="27"/>
        <v>8820.3961644613846</v>
      </c>
      <c r="BN8">
        <f t="shared" si="28"/>
        <v>11610.521481791005</v>
      </c>
      <c r="BO8">
        <f t="shared" si="29"/>
        <v>12600.565949230548</v>
      </c>
      <c r="BQ8">
        <v>3</v>
      </c>
      <c r="BR8">
        <f t="shared" si="30"/>
        <v>19922.71797823103</v>
      </c>
      <c r="BS8">
        <f t="shared" si="31"/>
        <v>26224.802236651052</v>
      </c>
      <c r="BT8">
        <f t="shared" si="32"/>
        <v>28461.025683187188</v>
      </c>
      <c r="BV8" t="b">
        <f t="shared" si="33"/>
        <v>0</v>
      </c>
      <c r="BW8" t="b">
        <f t="shared" si="34"/>
        <v>0</v>
      </c>
      <c r="BX8" t="b">
        <f t="shared" si="35"/>
        <v>0</v>
      </c>
      <c r="CB8">
        <v>-4.3348301656713668E-3</v>
      </c>
      <c r="CC8">
        <v>3</v>
      </c>
      <c r="CD8">
        <v>-8.7269971760634835E-2</v>
      </c>
      <c r="CE8" s="13" t="s">
        <v>77</v>
      </c>
      <c r="CF8" s="14">
        <f xml:space="preserve"> ROUND(CF7*CF6,0)</f>
        <v>6</v>
      </c>
      <c r="CG8">
        <v>-6.1099616385859633E-3</v>
      </c>
      <c r="CH8">
        <v>-8.5280144592893195E-2</v>
      </c>
      <c r="CI8" s="13" t="s">
        <v>77</v>
      </c>
      <c r="CJ8" s="14">
        <f>ROUND(CJ7*CJ6,0)</f>
        <v>6</v>
      </c>
      <c r="CK8">
        <v>-5.211684862948489E-3</v>
      </c>
      <c r="CL8">
        <v>-8.165778364792449E-2</v>
      </c>
      <c r="CM8" s="13" t="s">
        <v>82</v>
      </c>
      <c r="CN8" s="14"/>
      <c r="CP8">
        <v>3</v>
      </c>
      <c r="CQ8">
        <f t="shared" si="36"/>
        <v>55983.455251277614</v>
      </c>
      <c r="CR8">
        <f t="shared" si="37"/>
        <v>96230.706830111027</v>
      </c>
      <c r="CS8">
        <f t="shared" si="38"/>
        <v>104006.63514191759</v>
      </c>
      <c r="CT8">
        <f t="shared" si="39"/>
        <v>51191.757931298882</v>
      </c>
      <c r="CU8">
        <f t="shared" si="21"/>
        <v>82010.599883115588</v>
      </c>
      <c r="CV8">
        <f t="shared" si="22"/>
        <v>87129.409473157182</v>
      </c>
      <c r="CW8">
        <f t="shared" ref="CW8:CW71" si="43" xml:space="preserve"> $CW$6*SQRT(CP8)</f>
        <v>99099.789003390746</v>
      </c>
      <c r="CX8">
        <f t="shared" ref="CX8:CX71" si="44" xml:space="preserve"> $CX$6*SQRT(CP8)</f>
        <v>168241.60270902349</v>
      </c>
      <c r="CY8">
        <f t="shared" ref="CY8:CY71" si="45" xml:space="preserve"> $CY$6*SQRT(CP8)</f>
        <v>181809.27909187556</v>
      </c>
      <c r="DB8" t="b">
        <f t="shared" si="40"/>
        <v>0</v>
      </c>
      <c r="DC8" t="b">
        <f t="shared" si="41"/>
        <v>0</v>
      </c>
      <c r="DD8" t="b">
        <f t="shared" si="42"/>
        <v>0</v>
      </c>
    </row>
    <row r="9" spans="1:108" x14ac:dyDescent="0.25">
      <c r="A9" s="1">
        <v>44504</v>
      </c>
      <c r="B9">
        <v>236.69000199999999</v>
      </c>
      <c r="C9">
        <v>243.11999499999999</v>
      </c>
      <c r="D9">
        <v>232.66999799999999</v>
      </c>
      <c r="E9">
        <v>242.60000600000001</v>
      </c>
      <c r="F9">
        <v>242.60000600000001</v>
      </c>
      <c r="G9">
        <v>2162600</v>
      </c>
      <c r="H9">
        <f xml:space="preserve"> (ENPH[[#This Row],[Close]]-E8)/E8</f>
        <v>2.5445954641593081E-2</v>
      </c>
      <c r="K9" s="1">
        <v>44504</v>
      </c>
      <c r="L9">
        <v>347</v>
      </c>
      <c r="M9">
        <v>354.55999800000001</v>
      </c>
      <c r="N9">
        <v>340</v>
      </c>
      <c r="O9">
        <v>349.82998700000002</v>
      </c>
      <c r="P9">
        <v>349.82998700000002</v>
      </c>
      <c r="Q9">
        <v>682500</v>
      </c>
      <c r="R9">
        <f xml:space="preserve"> (SEDG4[[#This Row],[Close]]-O8)/O8</f>
        <v>-8.9521037126292467E-3</v>
      </c>
      <c r="T9" t="s">
        <v>32</v>
      </c>
      <c r="V9">
        <f xml:space="preserve"> X9/(2*ENPH[[#This Row],[Close]])</f>
        <v>2095.7189320564025</v>
      </c>
      <c r="W9">
        <f xml:space="preserve"> X9/(2*SEDG4[[#This Row],[Close]])</f>
        <v>1453.3386055644135</v>
      </c>
      <c r="X9">
        <f t="shared" si="0"/>
        <v>1016842.8509823938</v>
      </c>
      <c r="Y9">
        <f t="shared" si="23"/>
        <v>8.4698243396225965E-3</v>
      </c>
      <c r="Z9">
        <f xml:space="preserve"> V9*ENPH[[#This Row],[Close]]</f>
        <v>508421.42549119686</v>
      </c>
      <c r="AA9">
        <f xml:space="preserve"> W9*SEDG4[[#This Row],[Close]]</f>
        <v>508421.42549119692</v>
      </c>
      <c r="AB9">
        <f t="shared" si="1"/>
        <v>1016842.8509823938</v>
      </c>
      <c r="AC9" t="b">
        <f t="shared" si="2"/>
        <v>1</v>
      </c>
      <c r="AE9">
        <v>5</v>
      </c>
      <c r="AF9">
        <f xml:space="preserve"> $AH$1*SQRT(AE9)*1.96</f>
        <v>98997.366459060024</v>
      </c>
      <c r="AG9">
        <f t="shared" si="4"/>
        <v>130312.8599308035</v>
      </c>
      <c r="AH9">
        <f t="shared" si="5"/>
        <v>141424.8092272286</v>
      </c>
      <c r="AJ9">
        <v>5</v>
      </c>
      <c r="AK9">
        <f t="shared" si="6"/>
        <v>88855.558297966607</v>
      </c>
      <c r="AL9">
        <f t="shared" si="7"/>
        <v>116962.92877997646</v>
      </c>
      <c r="AM9">
        <f t="shared" si="8"/>
        <v>126936.51185423801</v>
      </c>
      <c r="AO9">
        <v>5</v>
      </c>
      <c r="AP9">
        <f t="shared" si="9"/>
        <v>180720.49154404731</v>
      </c>
      <c r="AQ9">
        <f t="shared" si="10"/>
        <v>237887.17764471535</v>
      </c>
      <c r="AR9">
        <f t="shared" si="11"/>
        <v>258172.13077721043</v>
      </c>
      <c r="AT9">
        <f t="shared" si="12"/>
        <v>187852.92475702663</v>
      </c>
      <c r="AU9" t="b">
        <f t="shared" si="13"/>
        <v>0</v>
      </c>
      <c r="AV9">
        <f t="shared" si="14"/>
        <v>247275.78871077998</v>
      </c>
      <c r="AW9" t="b">
        <f t="shared" si="15"/>
        <v>0</v>
      </c>
      <c r="AX9">
        <f t="shared" si="16"/>
        <v>268361.32108146662</v>
      </c>
      <c r="AY9" t="b">
        <f t="shared" si="17"/>
        <v>0</v>
      </c>
      <c r="BA9">
        <v>5</v>
      </c>
      <c r="BB9">
        <f t="shared" si="18"/>
        <v>-1.4218291948963428E-2</v>
      </c>
      <c r="BC9">
        <f t="shared" si="19"/>
        <v>-1.2083791121495772E-2</v>
      </c>
      <c r="BD9">
        <f t="shared" si="20"/>
        <v>-1.3183071517192214E-2</v>
      </c>
      <c r="BG9">
        <v>4</v>
      </c>
      <c r="BH9">
        <f t="shared" si="24"/>
        <v>14535.264353256191</v>
      </c>
      <c r="BI9">
        <f t="shared" si="25"/>
        <v>19133.154097653558</v>
      </c>
      <c r="BJ9">
        <f t="shared" si="26"/>
        <v>20764.663361794559</v>
      </c>
      <c r="BL9">
        <v>4</v>
      </c>
      <c r="BM9">
        <f t="shared" si="27"/>
        <v>10184.916199821846</v>
      </c>
      <c r="BN9">
        <f t="shared" si="28"/>
        <v>13406.67540588794</v>
      </c>
      <c r="BO9">
        <f t="shared" si="29"/>
        <v>14549.880285459778</v>
      </c>
      <c r="BQ9">
        <v>4</v>
      </c>
      <c r="BR9">
        <f t="shared" si="30"/>
        <v>23004.773175441369</v>
      </c>
      <c r="BS9">
        <f t="shared" si="31"/>
        <v>30281.793261550374</v>
      </c>
      <c r="BT9">
        <f t="shared" si="32"/>
        <v>32863.961679201951</v>
      </c>
      <c r="BV9" t="b">
        <f t="shared" si="33"/>
        <v>0</v>
      </c>
      <c r="BW9" t="b">
        <f t="shared" si="34"/>
        <v>0</v>
      </c>
      <c r="BX9" t="b">
        <f t="shared" si="35"/>
        <v>0</v>
      </c>
      <c r="CB9">
        <v>2.5445954641593081E-2</v>
      </c>
      <c r="CC9">
        <v>4</v>
      </c>
      <c r="CD9">
        <v>-7.8505918340203346E-2</v>
      </c>
      <c r="CE9" s="13" t="s">
        <v>79</v>
      </c>
      <c r="CF9" s="14">
        <v>-6.4644125918980999E-2</v>
      </c>
      <c r="CG9">
        <v>-8.9521037126292467E-3</v>
      </c>
      <c r="CH9">
        <v>-7.6143368109036172E-2</v>
      </c>
      <c r="CI9" s="13" t="s">
        <v>79</v>
      </c>
      <c r="CJ9" s="14">
        <v>-6.0458268412438704E-2</v>
      </c>
      <c r="CK9">
        <v>8.4698243396225965E-3</v>
      </c>
      <c r="CL9">
        <v>-8.0191035009376049E-2</v>
      </c>
      <c r="CM9" s="13" t="s">
        <v>90</v>
      </c>
      <c r="CN9" s="14">
        <f xml:space="preserve"> 1000000*ABS(_xlfn.PERCENTILE.INC(CK6:CK129, 0.01))*SQRT(CP6)</f>
        <v>97134.334612948791</v>
      </c>
      <c r="CP9">
        <v>4</v>
      </c>
      <c r="CQ9">
        <f t="shared" si="36"/>
        <v>64644.125918981001</v>
      </c>
      <c r="CR9">
        <f t="shared" si="37"/>
        <v>111117.64898534512</v>
      </c>
      <c r="CS9">
        <f t="shared" si="38"/>
        <v>120096.51759338663</v>
      </c>
      <c r="CT9">
        <f t="shared" si="39"/>
        <v>59111.15044385114</v>
      </c>
      <c r="CU9">
        <f t="shared" si="21"/>
        <v>94697.683837838951</v>
      </c>
      <c r="CV9">
        <f t="shared" si="22"/>
        <v>100608.37602732086</v>
      </c>
      <c r="CW9">
        <f t="shared" si="43"/>
        <v>114430.57971548552</v>
      </c>
      <c r="CX9">
        <f t="shared" si="44"/>
        <v>194268.66922589758</v>
      </c>
      <c r="CY9">
        <f t="shared" si="45"/>
        <v>209935.27244973232</v>
      </c>
      <c r="DB9" t="b">
        <f t="shared" si="40"/>
        <v>0</v>
      </c>
      <c r="DC9" t="b">
        <f t="shared" si="41"/>
        <v>0</v>
      </c>
      <c r="DD9" t="b">
        <f t="shared" si="42"/>
        <v>0</v>
      </c>
    </row>
    <row r="10" spans="1:108" x14ac:dyDescent="0.25">
      <c r="A10" s="1">
        <v>44505</v>
      </c>
      <c r="B10">
        <v>242.11999499999999</v>
      </c>
      <c r="C10">
        <v>244.88000500000001</v>
      </c>
      <c r="D10">
        <v>234.259995</v>
      </c>
      <c r="E10">
        <v>237.89999399999999</v>
      </c>
      <c r="F10">
        <v>237.89999399999999</v>
      </c>
      <c r="G10">
        <v>1835500</v>
      </c>
      <c r="H10">
        <f xml:space="preserve"> (ENPH[[#This Row],[Close]]-E9)/E9</f>
        <v>-1.9373503230663627E-2</v>
      </c>
      <c r="K10" s="1">
        <v>44505</v>
      </c>
      <c r="L10">
        <v>347.47000100000002</v>
      </c>
      <c r="M10">
        <v>350.85998499999999</v>
      </c>
      <c r="N10">
        <v>337.42001299999998</v>
      </c>
      <c r="O10">
        <v>344.07000699999998</v>
      </c>
      <c r="P10">
        <v>344.07000699999998</v>
      </c>
      <c r="Q10">
        <v>631500</v>
      </c>
      <c r="R10">
        <f xml:space="preserve"> (SEDG4[[#This Row],[Close]]-O9)/O9</f>
        <v>-1.6465083652191431E-2</v>
      </c>
      <c r="T10">
        <f xml:space="preserve"> T8*SQRT(252)</f>
        <v>0.65458582433605916</v>
      </c>
      <c r="V10">
        <f xml:space="preserve"> X10/(2*ENPH[[#This Row],[Close]])</f>
        <v>2098.7334854453588</v>
      </c>
      <c r="W10">
        <f xml:space="preserve"> X10/(2*SEDG4[[#This Row],[Close]])</f>
        <v>1451.1252751974105</v>
      </c>
      <c r="X10">
        <f t="shared" si="0"/>
        <v>998577.3671900999</v>
      </c>
      <c r="Y10">
        <f t="shared" si="23"/>
        <v>-1.7962936725814865E-2</v>
      </c>
      <c r="Z10">
        <f xml:space="preserve"> V10*ENPH[[#This Row],[Close]]</f>
        <v>499288.68359504995</v>
      </c>
      <c r="AA10">
        <f xml:space="preserve"> W10*SEDG4[[#This Row],[Close]]</f>
        <v>499288.68359504989</v>
      </c>
      <c r="AB10">
        <f t="shared" si="1"/>
        <v>998577.36719009979</v>
      </c>
      <c r="AC10" t="b">
        <f t="shared" si="2"/>
        <v>1</v>
      </c>
      <c r="AE10">
        <v>6</v>
      </c>
      <c r="AF10">
        <f xml:space="preserve"> $AH$1*SQRT(AE10)*1.96</f>
        <v>108446.18148646501</v>
      </c>
      <c r="AG10">
        <f t="shared" si="4"/>
        <v>142750.58583422436</v>
      </c>
      <c r="AH10">
        <f t="shared" si="5"/>
        <v>154923.11640923572</v>
      </c>
      <c r="AJ10">
        <v>6</v>
      </c>
      <c r="AK10">
        <f t="shared" si="6"/>
        <v>97336.3872790233</v>
      </c>
      <c r="AL10">
        <f t="shared" si="7"/>
        <v>128126.4689693266</v>
      </c>
      <c r="AM10">
        <f t="shared" si="8"/>
        <v>139051.98182717615</v>
      </c>
      <c r="AO10">
        <v>6</v>
      </c>
      <c r="AP10">
        <f t="shared" si="9"/>
        <v>197969.37964419261</v>
      </c>
      <c r="AQ10">
        <f t="shared" si="10"/>
        <v>260592.34667449846</v>
      </c>
      <c r="AR10">
        <f t="shared" si="11"/>
        <v>282813.39949170372</v>
      </c>
      <c r="AT10">
        <f t="shared" si="12"/>
        <v>205782.56876548831</v>
      </c>
      <c r="AU10" t="b">
        <f t="shared" si="13"/>
        <v>0</v>
      </c>
      <c r="AV10">
        <f t="shared" si="14"/>
        <v>270877.05480355094</v>
      </c>
      <c r="AW10" t="b">
        <f t="shared" si="15"/>
        <v>0</v>
      </c>
      <c r="AX10">
        <f t="shared" si="16"/>
        <v>293975.09823641187</v>
      </c>
      <c r="AY10" t="b">
        <f t="shared" si="17"/>
        <v>0</v>
      </c>
      <c r="BA10">
        <v>6</v>
      </c>
      <c r="BB10">
        <f t="shared" si="18"/>
        <v>1.0787374275419689E-2</v>
      </c>
      <c r="BC10">
        <f t="shared" si="19"/>
        <v>1.1689283498777439E-2</v>
      </c>
      <c r="BD10">
        <f t="shared" si="20"/>
        <v>1.1225462156274436E-2</v>
      </c>
      <c r="BG10">
        <v>5</v>
      </c>
      <c r="BH10">
        <f t="shared" si="24"/>
        <v>16250.919582405182</v>
      </c>
      <c r="BI10">
        <f t="shared" si="25"/>
        <v>21391.516593166005</v>
      </c>
      <c r="BJ10">
        <f t="shared" si="26"/>
        <v>23215.599403435972</v>
      </c>
      <c r="BL10">
        <v>5</v>
      </c>
      <c r="BM10">
        <f t="shared" si="27"/>
        <v>11387.08248397024</v>
      </c>
      <c r="BN10">
        <f t="shared" si="28"/>
        <v>14989.118779920011</v>
      </c>
      <c r="BO10">
        <f t="shared" si="29"/>
        <v>16267.260691386056</v>
      </c>
      <c r="BQ10">
        <v>5</v>
      </c>
      <c r="BR10">
        <f t="shared" si="30"/>
        <v>25720.118313625298</v>
      </c>
      <c r="BS10">
        <f t="shared" si="31"/>
        <v>33856.074106710854</v>
      </c>
      <c r="BT10">
        <f t="shared" si="32"/>
        <v>36743.026162321854</v>
      </c>
      <c r="BV10" t="b">
        <f t="shared" si="33"/>
        <v>0</v>
      </c>
      <c r="BW10" t="b">
        <f t="shared" si="34"/>
        <v>0</v>
      </c>
      <c r="BX10" t="b">
        <f t="shared" si="35"/>
        <v>0</v>
      </c>
      <c r="CB10">
        <v>-1.9373503230663627E-2</v>
      </c>
      <c r="CC10">
        <v>5</v>
      </c>
      <c r="CD10">
        <v>-7.6170187234042522E-2</v>
      </c>
      <c r="CE10" s="13" t="s">
        <v>88</v>
      </c>
      <c r="CF10" s="14">
        <f xml:space="preserve"> 500000*ABS(CF9)</f>
        <v>32322.0629594905</v>
      </c>
      <c r="CG10">
        <v>-1.6465083652191431E-2</v>
      </c>
      <c r="CH10">
        <v>-6.1082576125493136E-2</v>
      </c>
      <c r="CI10" s="13" t="s">
        <v>89</v>
      </c>
      <c r="CJ10" s="14">
        <f xml:space="preserve"> 500000*ABS(CJ9)</f>
        <v>30229.134206219351</v>
      </c>
      <c r="CK10">
        <v>-1.7962936725814865E-2</v>
      </c>
      <c r="CL10">
        <v>-6.8953220484446145E-2</v>
      </c>
      <c r="CM10" s="13" t="s">
        <v>84</v>
      </c>
      <c r="CN10" s="14"/>
      <c r="CP10">
        <v>5</v>
      </c>
      <c r="CQ10">
        <f t="shared" si="36"/>
        <v>72274.329950448795</v>
      </c>
      <c r="CR10">
        <f t="shared" si="37"/>
        <v>124233.30831559612</v>
      </c>
      <c r="CS10">
        <f t="shared" si="38"/>
        <v>134271.98859990598</v>
      </c>
      <c r="CT10">
        <f t="shared" si="39"/>
        <v>66088.275310334007</v>
      </c>
      <c r="CU10">
        <f t="shared" si="21"/>
        <v>105875.22918659553</v>
      </c>
      <c r="CV10">
        <f t="shared" si="22"/>
        <v>112483.58395147485</v>
      </c>
      <c r="CW10">
        <f t="shared" si="43"/>
        <v>127937.27747426709</v>
      </c>
      <c r="CX10">
        <f t="shared" si="44"/>
        <v>217198.97514376423</v>
      </c>
      <c r="CY10">
        <f t="shared" si="45"/>
        <v>234714.77003627014</v>
      </c>
      <c r="DB10" t="b">
        <f t="shared" si="40"/>
        <v>0</v>
      </c>
      <c r="DC10" t="b">
        <f t="shared" si="41"/>
        <v>0</v>
      </c>
      <c r="DD10" t="b">
        <f t="shared" si="42"/>
        <v>0</v>
      </c>
    </row>
    <row r="11" spans="1:108" x14ac:dyDescent="0.25">
      <c r="A11" s="1">
        <v>44508</v>
      </c>
      <c r="B11">
        <v>241.16000399999999</v>
      </c>
      <c r="C11">
        <v>246.53999300000001</v>
      </c>
      <c r="D11">
        <v>239</v>
      </c>
      <c r="E11">
        <v>241.61999499999999</v>
      </c>
      <c r="F11">
        <v>241.61999499999999</v>
      </c>
      <c r="G11">
        <v>1242700</v>
      </c>
      <c r="H11">
        <f xml:space="preserve"> (ENPH[[#This Row],[Close]]-E10)/E10</f>
        <v>1.5636826792017475E-2</v>
      </c>
      <c r="K11" s="1">
        <v>44508</v>
      </c>
      <c r="L11">
        <v>345.89001500000001</v>
      </c>
      <c r="M11">
        <v>352.58999599999999</v>
      </c>
      <c r="N11">
        <v>342.61999500000002</v>
      </c>
      <c r="O11">
        <v>349.89999399999999</v>
      </c>
      <c r="P11">
        <v>349.89999399999999</v>
      </c>
      <c r="Q11">
        <v>476100</v>
      </c>
      <c r="R11">
        <f xml:space="preserve"> (SEDG4[[#This Row],[Close]]-O10)/O10</f>
        <v>1.6944188337811198E-2</v>
      </c>
      <c r="V11">
        <f xml:space="preserve"> X11/(2*ENPH[[#This Row],[Close]])</f>
        <v>2100.0457245313678</v>
      </c>
      <c r="W11">
        <f xml:space="preserve"> X11/(2*SEDG4[[#This Row],[Close]])</f>
        <v>1450.1658935754094</v>
      </c>
      <c r="X11">
        <f t="shared" si="0"/>
        <v>1014826.0749220809</v>
      </c>
      <c r="Y11">
        <f t="shared" si="23"/>
        <v>1.6271856609071E-2</v>
      </c>
      <c r="Z11">
        <f xml:space="preserve"> V11*ENPH[[#This Row],[Close]]</f>
        <v>507413.03746104043</v>
      </c>
      <c r="AA11">
        <f xml:space="preserve"> W11*SEDG4[[#This Row],[Close]]</f>
        <v>507413.03746104037</v>
      </c>
      <c r="AB11">
        <f t="shared" si="1"/>
        <v>1014826.0749220809</v>
      </c>
      <c r="AC11" t="b">
        <f t="shared" si="2"/>
        <v>1</v>
      </c>
      <c r="AE11">
        <v>7</v>
      </c>
      <c r="AF11">
        <f t="shared" si="3"/>
        <v>117135.26365770982</v>
      </c>
      <c r="AG11">
        <f t="shared" si="4"/>
        <v>154188.25522290374</v>
      </c>
      <c r="AH11">
        <f t="shared" si="5"/>
        <v>167336.09093958544</v>
      </c>
      <c r="AJ11">
        <v>7</v>
      </c>
      <c r="AK11">
        <f t="shared" si="6"/>
        <v>105135.31441252591</v>
      </c>
      <c r="AL11">
        <f t="shared" si="7"/>
        <v>138392.40366546781</v>
      </c>
      <c r="AM11">
        <f t="shared" si="8"/>
        <v>150193.30630360843</v>
      </c>
      <c r="AO11">
        <v>7</v>
      </c>
      <c r="AP11">
        <f t="shared" si="9"/>
        <v>213831.36928311264</v>
      </c>
      <c r="AQ11">
        <f t="shared" si="10"/>
        <v>281471.90446450544</v>
      </c>
      <c r="AR11">
        <f t="shared" si="11"/>
        <v>305473.38469016092</v>
      </c>
      <c r="AT11">
        <f t="shared" si="12"/>
        <v>222270.57807023573</v>
      </c>
      <c r="AU11" t="b">
        <f t="shared" si="13"/>
        <v>0</v>
      </c>
      <c r="AV11">
        <f t="shared" si="14"/>
        <v>292580.65888837154</v>
      </c>
      <c r="AW11" t="b">
        <f t="shared" si="15"/>
        <v>0</v>
      </c>
      <c r="AX11">
        <f t="shared" si="16"/>
        <v>317529.39724319387</v>
      </c>
      <c r="AY11" t="b">
        <f t="shared" si="17"/>
        <v>0</v>
      </c>
      <c r="BA11">
        <v>7</v>
      </c>
      <c r="BB11">
        <f t="shared" si="18"/>
        <v>-5.9850280236087667E-3</v>
      </c>
      <c r="BC11">
        <f t="shared" si="19"/>
        <v>2.2981590414898946E-3</v>
      </c>
      <c r="BD11">
        <f t="shared" si="20"/>
        <v>-1.9589415353426496E-3</v>
      </c>
      <c r="BG11">
        <v>6</v>
      </c>
      <c r="BH11">
        <f t="shared" si="24"/>
        <v>17801.990470971501</v>
      </c>
      <c r="BI11">
        <f t="shared" si="25"/>
        <v>23433.232354646159</v>
      </c>
      <c r="BJ11">
        <f t="shared" si="26"/>
        <v>25431.414958530713</v>
      </c>
      <c r="BL11">
        <v>6</v>
      </c>
      <c r="BM11">
        <f t="shared" si="27"/>
        <v>12473.923881284918</v>
      </c>
      <c r="BN11">
        <f t="shared" si="28"/>
        <v>16419.756945773006</v>
      </c>
      <c r="BO11">
        <f t="shared" si="29"/>
        <v>17819.891258978452</v>
      </c>
      <c r="BQ11">
        <v>6</v>
      </c>
      <c r="BR11">
        <f t="shared" si="30"/>
        <v>28174.977964148613</v>
      </c>
      <c r="BS11">
        <f t="shared" si="31"/>
        <v>37087.470993624192</v>
      </c>
      <c r="BT11">
        <f t="shared" si="32"/>
        <v>40249.9685202123</v>
      </c>
      <c r="BV11" t="b">
        <f t="shared" si="33"/>
        <v>0</v>
      </c>
      <c r="BW11" t="b">
        <f t="shared" si="34"/>
        <v>0</v>
      </c>
      <c r="BX11" t="b">
        <f t="shared" si="35"/>
        <v>0</v>
      </c>
      <c r="CB11">
        <v>1.5636826792017475E-2</v>
      </c>
      <c r="CC11">
        <v>6</v>
      </c>
      <c r="CD11">
        <v>-6.4644125918980999E-2</v>
      </c>
      <c r="CE11" s="13"/>
      <c r="CF11" s="14"/>
      <c r="CG11">
        <v>1.6944188337811198E-2</v>
      </c>
      <c r="CH11">
        <v>-6.0458268412438704E-2</v>
      </c>
      <c r="CI11" s="13" t="s">
        <v>117</v>
      </c>
      <c r="CJ11" s="15">
        <f xml:space="preserve"> 500000*ABS(_xlfn.PERCENTILE.INC(CG6:CG129, 1-0.95))</f>
        <v>29555.57522192557</v>
      </c>
      <c r="CK11">
        <v>1.6271856609071E-2</v>
      </c>
      <c r="CL11">
        <v>-6.2574679785117493E-2</v>
      </c>
      <c r="CM11" s="13" t="s">
        <v>90</v>
      </c>
      <c r="CN11" s="14">
        <f xml:space="preserve"> 1000000*ABS(_xlfn.PERCENTILE.INC(CK6:CK129, 0.005))*SQRT(CP6)</f>
        <v>104967.63622486616</v>
      </c>
      <c r="CP11">
        <v>6</v>
      </c>
      <c r="CQ11">
        <f t="shared" si="36"/>
        <v>79172.561684864064</v>
      </c>
      <c r="CR11">
        <f t="shared" si="37"/>
        <v>136090.77071589223</v>
      </c>
      <c r="CS11">
        <f t="shared" si="38"/>
        <v>147087.59399449002</v>
      </c>
      <c r="CT11">
        <f t="shared" si="39"/>
        <v>72396.078348163326</v>
      </c>
      <c r="CU11">
        <f t="shared" si="21"/>
        <v>115980.50261305542</v>
      </c>
      <c r="CV11">
        <f t="shared" si="22"/>
        <v>123219.59255849771</v>
      </c>
      <c r="CW11">
        <f t="shared" si="43"/>
        <v>140148.26563690728</v>
      </c>
      <c r="CX11">
        <f t="shared" si="44"/>
        <v>237929.55630648707</v>
      </c>
      <c r="CY11">
        <f t="shared" si="45"/>
        <v>257117.14825700561</v>
      </c>
      <c r="DB11" t="b">
        <f t="shared" si="40"/>
        <v>0</v>
      </c>
      <c r="DC11" t="b">
        <f t="shared" si="41"/>
        <v>0</v>
      </c>
      <c r="DD11" t="b">
        <f t="shared" si="42"/>
        <v>0</v>
      </c>
    </row>
    <row r="12" spans="1:108" x14ac:dyDescent="0.25">
      <c r="A12" s="1">
        <v>44509</v>
      </c>
      <c r="B12">
        <v>243.550003</v>
      </c>
      <c r="C12">
        <v>244.38000500000001</v>
      </c>
      <c r="D12">
        <v>232.55999800000001</v>
      </c>
      <c r="E12">
        <v>239.38999899999999</v>
      </c>
      <c r="F12">
        <v>239.38999899999999</v>
      </c>
      <c r="G12">
        <v>1214800</v>
      </c>
      <c r="H12">
        <f xml:space="preserve"> (ENPH[[#This Row],[Close]]-E11)/E11</f>
        <v>-9.2293520658337895E-3</v>
      </c>
      <c r="K12" s="1">
        <v>44509</v>
      </c>
      <c r="L12">
        <v>350.45001200000002</v>
      </c>
      <c r="M12">
        <v>353.61999500000002</v>
      </c>
      <c r="N12">
        <v>341.63198899999998</v>
      </c>
      <c r="O12">
        <v>351.14001500000001</v>
      </c>
      <c r="P12">
        <v>351.14001500000001</v>
      </c>
      <c r="Q12">
        <v>641600</v>
      </c>
      <c r="R12">
        <f xml:space="preserve"> (SEDG4[[#This Row],[Close]]-O11)/O11</f>
        <v>3.5439297549688239E-3</v>
      </c>
      <c r="T12" t="s">
        <v>100</v>
      </c>
      <c r="V12">
        <f xml:space="preserve"> X12/(2*ENPH[[#This Row],[Close]])</f>
        <v>2113.2053565045294</v>
      </c>
      <c r="W12">
        <f xml:space="preserve"> X12/(2*SEDG4[[#This Row],[Close]])</f>
        <v>1440.6795197648264</v>
      </c>
      <c r="X12">
        <f t="shared" si="0"/>
        <v>1011760.4563608279</v>
      </c>
      <c r="Y12">
        <f t="shared" si="23"/>
        <v>-3.0208314872953303E-3</v>
      </c>
      <c r="Z12">
        <f xml:space="preserve"> V12*ENPH[[#This Row],[Close]]</f>
        <v>505880.22818041389</v>
      </c>
      <c r="AA12">
        <f xml:space="preserve"> W12*SEDG4[[#This Row],[Close]]</f>
        <v>505880.22818041395</v>
      </c>
      <c r="AB12">
        <f t="shared" si="1"/>
        <v>1011760.4563608279</v>
      </c>
      <c r="AC12" t="b">
        <f t="shared" si="2"/>
        <v>1</v>
      </c>
      <c r="AE12">
        <v>8</v>
      </c>
      <c r="AF12">
        <f t="shared" si="3"/>
        <v>125222.86414759517</v>
      </c>
      <c r="AG12">
        <f t="shared" si="4"/>
        <v>164834.17831673243</v>
      </c>
      <c r="AH12">
        <f t="shared" si="5"/>
        <v>178889.80592513597</v>
      </c>
      <c r="AJ12">
        <v>8</v>
      </c>
      <c r="AK12">
        <f t="shared" si="6"/>
        <v>112394.37879497955</v>
      </c>
      <c r="AL12">
        <f t="shared" si="7"/>
        <v>147947.7026995139</v>
      </c>
      <c r="AM12">
        <f t="shared" si="8"/>
        <v>160563.39827854221</v>
      </c>
      <c r="AO12">
        <v>8</v>
      </c>
      <c r="AP12">
        <f t="shared" si="9"/>
        <v>228595.3492577557</v>
      </c>
      <c r="AQ12">
        <f t="shared" si="10"/>
        <v>300906.12300255604</v>
      </c>
      <c r="AR12">
        <f t="shared" si="11"/>
        <v>326564.78465393675</v>
      </c>
      <c r="AT12">
        <f t="shared" si="12"/>
        <v>237617.24294257473</v>
      </c>
      <c r="AU12" t="b">
        <f t="shared" si="13"/>
        <v>0</v>
      </c>
      <c r="AV12">
        <f t="shared" si="14"/>
        <v>312781.88101624633</v>
      </c>
      <c r="AW12" t="b">
        <f t="shared" si="15"/>
        <v>0</v>
      </c>
      <c r="AX12">
        <f t="shared" si="16"/>
        <v>339453.20420367818</v>
      </c>
      <c r="AY12" t="b">
        <f t="shared" si="17"/>
        <v>0</v>
      </c>
      <c r="BA12">
        <v>8</v>
      </c>
      <c r="BB12">
        <f t="shared" si="18"/>
        <v>-2.0141577144861277E-2</v>
      </c>
      <c r="BC12">
        <f t="shared" si="19"/>
        <v>-1.3610060751758617E-2</v>
      </c>
      <c r="BD12">
        <f t="shared" si="20"/>
        <v>-1.6945995218338391E-2</v>
      </c>
      <c r="BG12">
        <v>7</v>
      </c>
      <c r="BH12">
        <f t="shared" si="24"/>
        <v>19228.347359648989</v>
      </c>
      <c r="BI12">
        <f t="shared" si="25"/>
        <v>25310.783769333873</v>
      </c>
      <c r="BJ12">
        <f t="shared" si="26"/>
        <v>27469.067656641411</v>
      </c>
      <c r="BL12">
        <v>7</v>
      </c>
      <c r="BM12">
        <f t="shared" si="27"/>
        <v>13473.377694380819</v>
      </c>
      <c r="BN12">
        <f t="shared" si="28"/>
        <v>17735.36451607271</v>
      </c>
      <c r="BO12">
        <f t="shared" si="29"/>
        <v>19247.682420544024</v>
      </c>
      <c r="BQ12">
        <v>7</v>
      </c>
      <c r="BR12">
        <f t="shared" si="30"/>
        <v>30432.454394833763</v>
      </c>
      <c r="BS12">
        <f t="shared" si="31"/>
        <v>40059.047111566892</v>
      </c>
      <c r="BT12">
        <f t="shared" si="32"/>
        <v>43474.934849762518</v>
      </c>
      <c r="BV12" t="b">
        <f t="shared" si="33"/>
        <v>0</v>
      </c>
      <c r="BW12" t="b">
        <f t="shared" si="34"/>
        <v>0</v>
      </c>
      <c r="BX12" t="b">
        <f t="shared" si="35"/>
        <v>0</v>
      </c>
      <c r="CB12">
        <v>-9.2293520658337895E-3</v>
      </c>
      <c r="CC12">
        <v>7</v>
      </c>
      <c r="CD12">
        <v>-6.4370071061399123E-2</v>
      </c>
      <c r="CE12" s="4" t="s">
        <v>75</v>
      </c>
      <c r="CF12" s="11">
        <v>0.01</v>
      </c>
      <c r="CG12">
        <v>3.5439297549688239E-3</v>
      </c>
      <c r="CH12">
        <v>-5.9212854593918347E-2</v>
      </c>
      <c r="CI12" s="4" t="s">
        <v>75</v>
      </c>
      <c r="CJ12" s="4">
        <v>0.99</v>
      </c>
      <c r="CK12">
        <v>-3.0208314872953303E-3</v>
      </c>
      <c r="CL12">
        <v>-5.7414860847495246E-2</v>
      </c>
      <c r="CP12">
        <v>7</v>
      </c>
      <c r="CQ12">
        <f t="shared" si="36"/>
        <v>85516.140451384243</v>
      </c>
      <c r="CR12">
        <f t="shared" si="37"/>
        <v>146994.83274269593</v>
      </c>
      <c r="CS12">
        <f t="shared" si="38"/>
        <v>158872.75943849719</v>
      </c>
      <c r="CT12">
        <f t="shared" si="39"/>
        <v>78196.701892677709</v>
      </c>
      <c r="CU12">
        <f t="shared" si="21"/>
        <v>125273.26058437125</v>
      </c>
      <c r="CV12">
        <f t="shared" si="22"/>
        <v>133092.37138918176</v>
      </c>
      <c r="CW12">
        <f t="shared" si="43"/>
        <v>151377.4281540635</v>
      </c>
      <c r="CX12">
        <f t="shared" si="44"/>
        <v>256993.29315159592</v>
      </c>
      <c r="CY12">
        <f t="shared" si="45"/>
        <v>277718.26116129069</v>
      </c>
      <c r="DB12" t="b">
        <f t="shared" si="40"/>
        <v>0</v>
      </c>
      <c r="DC12" t="b">
        <f t="shared" si="41"/>
        <v>0</v>
      </c>
      <c r="DD12" t="b">
        <f t="shared" si="42"/>
        <v>0</v>
      </c>
    </row>
    <row r="13" spans="1:108" x14ac:dyDescent="0.25">
      <c r="A13" s="1">
        <v>44510</v>
      </c>
      <c r="B13">
        <v>228.729996</v>
      </c>
      <c r="C13">
        <v>237.83000200000001</v>
      </c>
      <c r="D13">
        <v>227.60000600000001</v>
      </c>
      <c r="E13">
        <v>231.479996</v>
      </c>
      <c r="F13">
        <v>231.479996</v>
      </c>
      <c r="G13">
        <v>1422200</v>
      </c>
      <c r="H13">
        <f xml:space="preserve"> (ENPH[[#This Row],[Close]]-E12)/E12</f>
        <v>-3.3042328556089719E-2</v>
      </c>
      <c r="K13" s="1">
        <v>44510</v>
      </c>
      <c r="L13">
        <v>342.85998499999999</v>
      </c>
      <c r="M13">
        <v>349.31500199999999</v>
      </c>
      <c r="N13">
        <v>338.13000499999998</v>
      </c>
      <c r="O13">
        <v>343.29998799999998</v>
      </c>
      <c r="P13">
        <v>343.29998799999998</v>
      </c>
      <c r="Q13">
        <v>572000</v>
      </c>
      <c r="R13">
        <f xml:space="preserve"> (SEDG4[[#This Row],[Close]]-O12)/O12</f>
        <v>-2.2327352808252345E-2</v>
      </c>
      <c r="T13">
        <f xml:space="preserve"> AVERAGE(Y6:Y129)</f>
        <v>-1.8801272034687649E-3</v>
      </c>
      <c r="V13">
        <f xml:space="preserve"> X13/(2*ENPH[[#This Row],[Close]])</f>
        <v>2124.6621046749592</v>
      </c>
      <c r="W13">
        <f xml:space="preserve"> X13/(2*SEDG4[[#This Row],[Close]])</f>
        <v>1432.6151840457132</v>
      </c>
      <c r="X13">
        <f t="shared" si="0"/>
        <v>983633.5509830222</v>
      </c>
      <c r="Y13">
        <f t="shared" si="23"/>
        <v>-2.7799965101398167E-2</v>
      </c>
      <c r="Z13">
        <f xml:space="preserve"> V13*ENPH[[#This Row],[Close]]</f>
        <v>491816.77549151116</v>
      </c>
      <c r="AA13">
        <f xml:space="preserve"> W13*SEDG4[[#This Row],[Close]]</f>
        <v>491816.7754915111</v>
      </c>
      <c r="AB13">
        <f t="shared" si="1"/>
        <v>983633.5509830222</v>
      </c>
      <c r="AC13" t="b">
        <f t="shared" si="2"/>
        <v>1</v>
      </c>
      <c r="AE13">
        <v>9</v>
      </c>
      <c r="AF13">
        <f t="shared" si="3"/>
        <v>132818.90459754952</v>
      </c>
      <c r="AG13">
        <f t="shared" si="4"/>
        <v>174833.04788861109</v>
      </c>
      <c r="AH13">
        <f t="shared" si="5"/>
        <v>189741.29228221357</v>
      </c>
      <c r="AJ13">
        <v>9</v>
      </c>
      <c r="AK13">
        <f t="shared" si="6"/>
        <v>119212.24111976931</v>
      </c>
      <c r="AL13">
        <f t="shared" si="7"/>
        <v>156922.23575969634</v>
      </c>
      <c r="AM13">
        <f t="shared" si="8"/>
        <v>170303.20159967043</v>
      </c>
      <c r="AO13">
        <v>9</v>
      </c>
      <c r="AP13">
        <f t="shared" si="9"/>
        <v>242461.9824117994</v>
      </c>
      <c r="AQ13">
        <f t="shared" si="10"/>
        <v>319159.1401134911</v>
      </c>
      <c r="AR13">
        <f t="shared" si="11"/>
        <v>346374.26058828487</v>
      </c>
      <c r="AT13">
        <f t="shared" si="12"/>
        <v>252031.14571731884</v>
      </c>
      <c r="AU13" t="b">
        <f t="shared" si="13"/>
        <v>0</v>
      </c>
      <c r="AV13">
        <f t="shared" si="14"/>
        <v>331755.28364830744</v>
      </c>
      <c r="AW13" t="b">
        <f t="shared" si="15"/>
        <v>0</v>
      </c>
      <c r="AX13">
        <f t="shared" si="16"/>
        <v>360044.49388188403</v>
      </c>
      <c r="AY13" t="b">
        <f t="shared" si="17"/>
        <v>0</v>
      </c>
      <c r="BA13">
        <v>9</v>
      </c>
      <c r="BB13">
        <f t="shared" si="18"/>
        <v>4.7056490995097559E-2</v>
      </c>
      <c r="BC13">
        <f t="shared" si="19"/>
        <v>2.4952751146776773E-2</v>
      </c>
      <c r="BD13">
        <f t="shared" si="20"/>
        <v>3.6181234014292796E-2</v>
      </c>
      <c r="BG13">
        <v>8</v>
      </c>
      <c r="BH13">
        <f t="shared" si="24"/>
        <v>20555.967981053102</v>
      </c>
      <c r="BI13">
        <f t="shared" si="25"/>
        <v>27058.366015876025</v>
      </c>
      <c r="BJ13">
        <f t="shared" si="26"/>
        <v>29365.668544361575</v>
      </c>
      <c r="BL13">
        <v>8</v>
      </c>
      <c r="BM13">
        <f t="shared" si="27"/>
        <v>14403.6466214215</v>
      </c>
      <c r="BN13">
        <f t="shared" si="28"/>
        <v>18959.902185340547</v>
      </c>
      <c r="BO13">
        <f t="shared" si="29"/>
        <v>20576.638030602142</v>
      </c>
      <c r="BQ13">
        <v>8</v>
      </c>
      <c r="BR13">
        <f t="shared" si="30"/>
        <v>32533.66222402596</v>
      </c>
      <c r="BS13">
        <f t="shared" si="31"/>
        <v>42824.922723462747</v>
      </c>
      <c r="BT13">
        <f t="shared" si="32"/>
        <v>46476.660320037081</v>
      </c>
      <c r="BV13" t="b">
        <f t="shared" si="33"/>
        <v>0</v>
      </c>
      <c r="BW13" t="b">
        <f t="shared" si="34"/>
        <v>0</v>
      </c>
      <c r="BX13" t="b">
        <f t="shared" si="35"/>
        <v>0</v>
      </c>
      <c r="CB13">
        <v>-3.3042328556089719E-2</v>
      </c>
      <c r="CC13">
        <v>8</v>
      </c>
      <c r="CD13">
        <v>-5.7876338967125816E-2</v>
      </c>
      <c r="CE13" s="13" t="s">
        <v>80</v>
      </c>
      <c r="CF13" s="14">
        <f xml:space="preserve"> ROUND(CF12*CF7,0)</f>
        <v>1</v>
      </c>
      <c r="CG13">
        <v>-2.2327352808252345E-2</v>
      </c>
      <c r="CH13">
        <v>-5.8534826926803625E-2</v>
      </c>
      <c r="CI13" s="13" t="s">
        <v>82</v>
      </c>
      <c r="CJ13" s="14">
        <v>-0.10555658773294266</v>
      </c>
      <c r="CK13">
        <v>-2.7799965101398167E-2</v>
      </c>
      <c r="CL13">
        <v>-5.6084387582478683E-2</v>
      </c>
      <c r="CP13">
        <v>8</v>
      </c>
      <c r="CQ13">
        <f t="shared" si="36"/>
        <v>91420.599602377057</v>
      </c>
      <c r="CR13">
        <f t="shared" si="37"/>
        <v>157144.08621408808</v>
      </c>
      <c r="CS13">
        <f t="shared" si="38"/>
        <v>169842.12397434641</v>
      </c>
      <c r="CT13">
        <f t="shared" si="39"/>
        <v>83595.79064517068</v>
      </c>
      <c r="CU13">
        <f t="shared" si="21"/>
        <v>133922.74880879131</v>
      </c>
      <c r="CV13">
        <f t="shared" si="22"/>
        <v>142281.72986616933</v>
      </c>
      <c r="CW13">
        <f t="shared" si="43"/>
        <v>161829.27778385521</v>
      </c>
      <c r="CX13">
        <f t="shared" si="44"/>
        <v>274737.38676343713</v>
      </c>
      <c r="CY13">
        <f t="shared" si="45"/>
        <v>296893.30951890227</v>
      </c>
      <c r="DB13" t="b">
        <f t="shared" si="40"/>
        <v>0</v>
      </c>
      <c r="DC13" t="b">
        <f t="shared" si="41"/>
        <v>0</v>
      </c>
      <c r="DD13" t="b">
        <f t="shared" si="42"/>
        <v>0</v>
      </c>
    </row>
    <row r="14" spans="1:108" x14ac:dyDescent="0.25">
      <c r="A14" s="1">
        <v>44511</v>
      </c>
      <c r="B14">
        <v>235.41000399999999</v>
      </c>
      <c r="C14">
        <v>252.050003</v>
      </c>
      <c r="D14">
        <v>235.30999800000001</v>
      </c>
      <c r="E14">
        <v>250.490005</v>
      </c>
      <c r="F14">
        <v>250.490005</v>
      </c>
      <c r="G14">
        <v>2661100</v>
      </c>
      <c r="H14">
        <f xml:space="preserve"> (ENPH[[#This Row],[Close]]-E13)/E13</f>
        <v>8.2123765891200365E-2</v>
      </c>
      <c r="K14" s="1">
        <v>44511</v>
      </c>
      <c r="L14">
        <v>348.79998799999998</v>
      </c>
      <c r="M14">
        <v>364.36999500000002</v>
      </c>
      <c r="N14">
        <v>345.70001200000002</v>
      </c>
      <c r="O14">
        <v>358.25</v>
      </c>
      <c r="P14">
        <v>358.25</v>
      </c>
      <c r="Q14">
        <v>894000</v>
      </c>
      <c r="R14">
        <f xml:space="preserve"> (SEDG4[[#This Row],[Close]]-O13)/O13</f>
        <v>4.3547953750583922E-2</v>
      </c>
      <c r="V14">
        <f xml:space="preserve"> X14/(2*ENPH[[#This Row],[Close]])</f>
        <v>2087.3970483187568</v>
      </c>
      <c r="W14">
        <f xml:space="preserve"> X14/(2*SEDG4[[#This Row],[Close]])</f>
        <v>1459.5173679563172</v>
      </c>
      <c r="X14">
        <f t="shared" si="0"/>
        <v>1045744.1941407013</v>
      </c>
      <c r="Y14">
        <f t="shared" si="23"/>
        <v>6.3144087648908567E-2</v>
      </c>
      <c r="Z14">
        <f xml:space="preserve"> V14*ENPH[[#This Row],[Close]]</f>
        <v>522872.0970703506</v>
      </c>
      <c r="AA14">
        <f xml:space="preserve"> W14*SEDG4[[#This Row],[Close]]</f>
        <v>522872.09707035066</v>
      </c>
      <c r="AB14">
        <f t="shared" si="1"/>
        <v>1045744.1941407013</v>
      </c>
      <c r="AC14" t="b">
        <f t="shared" si="2"/>
        <v>1</v>
      </c>
      <c r="AE14">
        <v>10</v>
      </c>
      <c r="AF14">
        <f t="shared" si="3"/>
        <v>140003.41828562206</v>
      </c>
      <c r="AG14">
        <f t="shared" si="4"/>
        <v>184290.21386576782</v>
      </c>
      <c r="AH14">
        <f t="shared" si="5"/>
        <v>200004.88326517434</v>
      </c>
      <c r="AJ14">
        <v>10</v>
      </c>
      <c r="AK14">
        <f t="shared" si="6"/>
        <v>125660.73563721759</v>
      </c>
      <c r="AL14">
        <f t="shared" si="7"/>
        <v>165410.56017552112</v>
      </c>
      <c r="AM14">
        <f t="shared" si="8"/>
        <v>179515.33662459653</v>
      </c>
      <c r="AO14">
        <v>10</v>
      </c>
      <c r="AP14">
        <f t="shared" si="9"/>
        <v>255577.37014032394</v>
      </c>
      <c r="AQ14">
        <f t="shared" si="10"/>
        <v>336423.2729398142</v>
      </c>
      <c r="AR14">
        <f t="shared" si="11"/>
        <v>365110.52877189132</v>
      </c>
      <c r="AT14">
        <f t="shared" si="12"/>
        <v>265664.15392283967</v>
      </c>
      <c r="AU14" t="b">
        <f t="shared" si="13"/>
        <v>0</v>
      </c>
      <c r="AV14">
        <f t="shared" si="14"/>
        <v>349700.77404128894</v>
      </c>
      <c r="AW14" t="b">
        <f t="shared" si="15"/>
        <v>0</v>
      </c>
      <c r="AX14">
        <f t="shared" si="16"/>
        <v>379520.21988977084</v>
      </c>
      <c r="AY14" t="b">
        <f t="shared" si="17"/>
        <v>0</v>
      </c>
      <c r="BA14">
        <v>10</v>
      </c>
      <c r="BB14">
        <f t="shared" si="18"/>
        <v>2.4297563999653056E-3</v>
      </c>
      <c r="BC14">
        <f t="shared" si="19"/>
        <v>6.2544062221779389E-3</v>
      </c>
      <c r="BD14">
        <f t="shared" si="20"/>
        <v>4.2768364950682303E-3</v>
      </c>
      <c r="BG14">
        <v>9</v>
      </c>
      <c r="BH14">
        <f t="shared" si="24"/>
        <v>21802.896529884289</v>
      </c>
      <c r="BI14">
        <f t="shared" si="25"/>
        <v>28699.731146480339</v>
      </c>
      <c r="BJ14">
        <f t="shared" si="26"/>
        <v>31146.995042691837</v>
      </c>
      <c r="BL14">
        <v>9</v>
      </c>
      <c r="BM14">
        <f t="shared" si="27"/>
        <v>15277.374299732768</v>
      </c>
      <c r="BN14">
        <f t="shared" si="28"/>
        <v>20110.01310883191</v>
      </c>
      <c r="BO14">
        <f t="shared" si="29"/>
        <v>21824.820428189669</v>
      </c>
      <c r="BQ14">
        <v>9</v>
      </c>
      <c r="BR14">
        <f t="shared" si="30"/>
        <v>34507.159763162053</v>
      </c>
      <c r="BS14">
        <f t="shared" si="31"/>
        <v>45422.689892325558</v>
      </c>
      <c r="BT14">
        <f t="shared" si="32"/>
        <v>49295.942518802927</v>
      </c>
      <c r="BV14" t="b">
        <f t="shared" si="33"/>
        <v>0</v>
      </c>
      <c r="BW14" t="b">
        <f t="shared" si="34"/>
        <v>0</v>
      </c>
      <c r="BX14" t="b">
        <f t="shared" si="35"/>
        <v>0</v>
      </c>
      <c r="BZ14" s="3"/>
      <c r="CB14">
        <v>8.2123765891200365E-2</v>
      </c>
      <c r="CC14">
        <v>9</v>
      </c>
      <c r="CD14">
        <v>-5.7066915540955568E-2</v>
      </c>
      <c r="CE14" s="13" t="s">
        <v>79</v>
      </c>
      <c r="CF14" s="14">
        <v>-0.12306055633820956</v>
      </c>
      <c r="CG14">
        <v>4.3547953750583922E-2</v>
      </c>
      <c r="CH14">
        <v>-5.8130740207436554E-2</v>
      </c>
      <c r="CI14" s="13" t="s">
        <v>89</v>
      </c>
      <c r="CJ14" s="14">
        <f xml:space="preserve"> 500000*ABS(CJ13)</f>
        <v>52778.293866471329</v>
      </c>
      <c r="CK14">
        <v>6.3144087648908567E-2</v>
      </c>
      <c r="CL14">
        <v>-5.550258322981081E-2</v>
      </c>
      <c r="CP14">
        <v>9</v>
      </c>
      <c r="CQ14">
        <f t="shared" si="36"/>
        <v>96966.188878471497</v>
      </c>
      <c r="CR14">
        <f t="shared" si="37"/>
        <v>166676.47347801767</v>
      </c>
      <c r="CS14">
        <f t="shared" si="38"/>
        <v>180144.77639007993</v>
      </c>
      <c r="CT14">
        <f t="shared" si="39"/>
        <v>88666.725665776714</v>
      </c>
      <c r="CU14">
        <f t="shared" si="21"/>
        <v>142046.52575675843</v>
      </c>
      <c r="CV14">
        <f t="shared" si="22"/>
        <v>150912.56404098129</v>
      </c>
      <c r="CW14">
        <f t="shared" si="43"/>
        <v>171645.86957322829</v>
      </c>
      <c r="CX14">
        <f t="shared" si="44"/>
        <v>291403.00383884634</v>
      </c>
      <c r="CY14">
        <f t="shared" si="45"/>
        <v>314902.9086745985</v>
      </c>
      <c r="DB14" t="b">
        <f t="shared" si="40"/>
        <v>0</v>
      </c>
      <c r="DC14" t="b">
        <f t="shared" si="41"/>
        <v>0</v>
      </c>
      <c r="DD14" t="b">
        <f t="shared" si="42"/>
        <v>0</v>
      </c>
    </row>
    <row r="15" spans="1:108" x14ac:dyDescent="0.25">
      <c r="A15" s="1">
        <v>44512</v>
      </c>
      <c r="B15">
        <v>251.5</v>
      </c>
      <c r="C15">
        <v>254.699997</v>
      </c>
      <c r="D15">
        <v>248.19000199999999</v>
      </c>
      <c r="E15">
        <v>251.61999499999999</v>
      </c>
      <c r="F15">
        <v>251.61999499999999</v>
      </c>
      <c r="G15">
        <v>1600600</v>
      </c>
      <c r="H15">
        <f xml:space="preserve"> (ENPH[[#This Row],[Close]]-E14)/E14</f>
        <v>4.5111181182658057E-3</v>
      </c>
      <c r="K15" s="1">
        <v>44512</v>
      </c>
      <c r="L15">
        <v>358.5</v>
      </c>
      <c r="M15">
        <v>363.64999399999999</v>
      </c>
      <c r="N15">
        <v>352.75</v>
      </c>
      <c r="O15">
        <v>362.41000400000001</v>
      </c>
      <c r="P15">
        <v>362.41000400000001</v>
      </c>
      <c r="Q15">
        <v>613700</v>
      </c>
      <c r="R15">
        <f xml:space="preserve"> (SEDG4[[#This Row],[Close]]-O14)/O14</f>
        <v>1.1612013956734165E-2</v>
      </c>
      <c r="V15">
        <f xml:space="preserve"> X15/(2*ENPH[[#This Row],[Close]])</f>
        <v>2094.5232401538256</v>
      </c>
      <c r="W15">
        <f xml:space="preserve"> X15/(2*SEDG4[[#This Row],[Close]])</f>
        <v>1454.2201412709603</v>
      </c>
      <c r="X15">
        <f t="shared" si="0"/>
        <v>1054047.8544297786</v>
      </c>
      <c r="Y15">
        <f t="shared" si="23"/>
        <v>7.9404316424635021E-3</v>
      </c>
      <c r="Z15">
        <f xml:space="preserve"> V15*ENPH[[#This Row],[Close]]</f>
        <v>527023.92721488932</v>
      </c>
      <c r="AA15">
        <f xml:space="preserve"> W15*SEDG4[[#This Row],[Close]]</f>
        <v>527023.92721488932</v>
      </c>
      <c r="AB15">
        <f t="shared" si="1"/>
        <v>1054047.8544297786</v>
      </c>
      <c r="AC15" t="b">
        <f t="shared" si="2"/>
        <v>1</v>
      </c>
      <c r="AE15">
        <v>11</v>
      </c>
      <c r="AF15">
        <f t="shared" si="3"/>
        <v>146836.82387202716</v>
      </c>
      <c r="AG15">
        <f t="shared" si="4"/>
        <v>193285.2069335868</v>
      </c>
      <c r="AH15">
        <f t="shared" si="5"/>
        <v>209766.8912457531</v>
      </c>
      <c r="AJ15">
        <v>11</v>
      </c>
      <c r="AK15">
        <f t="shared" si="6"/>
        <v>131794.09140388409</v>
      </c>
      <c r="AL15">
        <f t="shared" si="7"/>
        <v>173484.05909286783</v>
      </c>
      <c r="AM15">
        <f t="shared" si="8"/>
        <v>188277.27343412011</v>
      </c>
      <c r="AO15">
        <v>11</v>
      </c>
      <c r="AP15">
        <f t="shared" si="9"/>
        <v>268051.80719522963</v>
      </c>
      <c r="AQ15">
        <f t="shared" si="10"/>
        <v>352843.70538963896</v>
      </c>
      <c r="AR15">
        <f t="shared" si="11"/>
        <v>382931.1531360423</v>
      </c>
      <c r="AT15">
        <f t="shared" si="12"/>
        <v>278630.91527591122</v>
      </c>
      <c r="AU15" t="b">
        <f t="shared" si="13"/>
        <v>0</v>
      </c>
      <c r="AV15">
        <f t="shared" si="14"/>
        <v>366769.26602645463</v>
      </c>
      <c r="AW15" t="b">
        <f t="shared" si="15"/>
        <v>0</v>
      </c>
      <c r="AX15">
        <f t="shared" si="16"/>
        <v>398044.16467987321</v>
      </c>
      <c r="AY15" t="b">
        <f t="shared" si="17"/>
        <v>0</v>
      </c>
      <c r="BA15">
        <v>11</v>
      </c>
      <c r="BB15">
        <f t="shared" si="18"/>
        <v>-1.3903960758418753E-2</v>
      </c>
      <c r="BC15">
        <f t="shared" si="19"/>
        <v>8.2704029876773909E-3</v>
      </c>
      <c r="BD15">
        <f t="shared" si="20"/>
        <v>-3.1560431289572879E-3</v>
      </c>
      <c r="BG15">
        <v>10</v>
      </c>
      <c r="BH15">
        <f t="shared" si="24"/>
        <v>22982.27087447192</v>
      </c>
      <c r="BI15">
        <f t="shared" si="25"/>
        <v>30252.172885784472</v>
      </c>
      <c r="BJ15">
        <f t="shared" si="26"/>
        <v>32831.815534959889</v>
      </c>
      <c r="BL15">
        <v>10</v>
      </c>
      <c r="BM15">
        <f t="shared" si="27"/>
        <v>16103.766484691823</v>
      </c>
      <c r="BN15">
        <f t="shared" si="28"/>
        <v>21197.815066584135</v>
      </c>
      <c r="BO15">
        <f t="shared" si="29"/>
        <v>23005.380692416889</v>
      </c>
      <c r="BQ15">
        <v>10</v>
      </c>
      <c r="BR15">
        <f t="shared" si="30"/>
        <v>36373.740144969517</v>
      </c>
      <c r="BS15">
        <f t="shared" si="31"/>
        <v>47879.719170419063</v>
      </c>
      <c r="BT15">
        <f t="shared" si="32"/>
        <v>51962.485921385021</v>
      </c>
      <c r="BV15" t="b">
        <f t="shared" si="33"/>
        <v>0</v>
      </c>
      <c r="BW15" t="b">
        <f t="shared" si="34"/>
        <v>0</v>
      </c>
      <c r="BX15" t="b">
        <f t="shared" si="35"/>
        <v>0</v>
      </c>
      <c r="CB15">
        <v>4.5111181182658057E-3</v>
      </c>
      <c r="CC15">
        <v>10</v>
      </c>
      <c r="CD15">
        <v>-5.4888715272123606E-2</v>
      </c>
      <c r="CE15" s="13" t="s">
        <v>88</v>
      </c>
      <c r="CF15" s="14">
        <f xml:space="preserve"> 500000*ABS(CF14)</f>
        <v>61530.278169104778</v>
      </c>
      <c r="CG15">
        <v>1.1612013956734165E-2</v>
      </c>
      <c r="CH15">
        <v>-5.6017918562717796E-2</v>
      </c>
      <c r="CI15" s="13" t="s">
        <v>115</v>
      </c>
      <c r="CJ15" s="14">
        <f xml:space="preserve"> _xlfn.PERCENTILE.INC(CG6:CG129, 1-0.99)</f>
        <v>-9.4697683837838956E-2</v>
      </c>
      <c r="CK15">
        <v>7.9404316424635021E-3</v>
      </c>
      <c r="CL15">
        <v>-5.4229298727195521E-2</v>
      </c>
      <c r="CP15">
        <v>10</v>
      </c>
      <c r="CQ15">
        <f t="shared" si="36"/>
        <v>102211.33762735267</v>
      </c>
      <c r="CR15">
        <f t="shared" si="37"/>
        <v>175692.42951839423</v>
      </c>
      <c r="CS15">
        <f t="shared" si="38"/>
        <v>189889.26732479266</v>
      </c>
      <c r="CT15">
        <f t="shared" si="39"/>
        <v>93462.935257721329</v>
      </c>
      <c r="CU15">
        <f t="shared" si="21"/>
        <v>149730.18503504316</v>
      </c>
      <c r="CV15">
        <f t="shared" si="22"/>
        <v>159075.80996850834</v>
      </c>
      <c r="CW15">
        <f t="shared" si="43"/>
        <v>180930.63293719839</v>
      </c>
      <c r="CX15">
        <f t="shared" si="44"/>
        <v>307165.73638184817</v>
      </c>
      <c r="CY15">
        <f t="shared" si="45"/>
        <v>331936.81107457541</v>
      </c>
      <c r="DB15" t="b">
        <f t="shared" si="40"/>
        <v>0</v>
      </c>
      <c r="DC15" t="b">
        <f t="shared" si="41"/>
        <v>0</v>
      </c>
      <c r="DD15" t="b">
        <f t="shared" si="42"/>
        <v>0</v>
      </c>
    </row>
    <row r="16" spans="1:108" x14ac:dyDescent="0.25">
      <c r="A16" s="1">
        <v>44515</v>
      </c>
      <c r="B16">
        <v>253.63999899999999</v>
      </c>
      <c r="C16">
        <v>253.990005</v>
      </c>
      <c r="D16">
        <v>241.61000100000001</v>
      </c>
      <c r="E16">
        <v>244.71000699999999</v>
      </c>
      <c r="F16">
        <v>244.71000699999999</v>
      </c>
      <c r="G16">
        <v>1715600</v>
      </c>
      <c r="H16">
        <f xml:space="preserve"> (ENPH[[#This Row],[Close]]-E15)/E15</f>
        <v>-2.7461998797035182E-2</v>
      </c>
      <c r="K16" s="1">
        <v>44515</v>
      </c>
      <c r="L16">
        <v>366.20001200000002</v>
      </c>
      <c r="M16">
        <v>369.11999500000002</v>
      </c>
      <c r="N16">
        <v>359.459991</v>
      </c>
      <c r="O16">
        <v>368.32998700000002</v>
      </c>
      <c r="P16">
        <v>368.32998700000002</v>
      </c>
      <c r="Q16">
        <v>855500</v>
      </c>
      <c r="R16">
        <f xml:space="preserve"> (SEDG4[[#This Row],[Close]]-O15)/O15</f>
        <v>1.6335043002841616E-2</v>
      </c>
      <c r="V16">
        <f xml:space="preserve"> X16/(2*ENPH[[#This Row],[Close]])</f>
        <v>2140.2422212723168</v>
      </c>
      <c r="W16">
        <f xml:space="preserve"> X16/(2*SEDG4[[#This Row],[Close]])</f>
        <v>1421.9279109339641</v>
      </c>
      <c r="X16">
        <f t="shared" si="0"/>
        <v>1047477.3778984883</v>
      </c>
      <c r="Y16">
        <f t="shared" si="23"/>
        <v>-6.2335656807961963E-3</v>
      </c>
      <c r="Z16">
        <f xml:space="preserve"> V16*ENPH[[#This Row],[Close]]</f>
        <v>523738.68894924416</v>
      </c>
      <c r="AA16">
        <f xml:space="preserve"> W16*SEDG4[[#This Row],[Close]]</f>
        <v>523738.68894924416</v>
      </c>
      <c r="AB16">
        <f t="shared" si="1"/>
        <v>1047477.3778984883</v>
      </c>
      <c r="AC16" t="b">
        <f t="shared" si="2"/>
        <v>1</v>
      </c>
      <c r="AE16">
        <v>12</v>
      </c>
      <c r="AF16">
        <f t="shared" si="3"/>
        <v>153366.06064573285</v>
      </c>
      <c r="AG16">
        <f t="shared" si="4"/>
        <v>201879.81452346468</v>
      </c>
      <c r="AH16">
        <f t="shared" si="5"/>
        <v>219094.37235104694</v>
      </c>
      <c r="AJ16">
        <v>12</v>
      </c>
      <c r="AK16">
        <f t="shared" si="6"/>
        <v>137654.43900239476</v>
      </c>
      <c r="AL16">
        <f t="shared" si="7"/>
        <v>181198.19011539718</v>
      </c>
      <c r="AM16">
        <f t="shared" si="8"/>
        <v>196649.19857484964</v>
      </c>
      <c r="AO16">
        <v>12</v>
      </c>
      <c r="AP16">
        <f t="shared" si="9"/>
        <v>279970.98162740533</v>
      </c>
      <c r="AQ16">
        <f t="shared" si="10"/>
        <v>368533.23091770703</v>
      </c>
      <c r="AR16">
        <f t="shared" si="11"/>
        <v>399958.5451820076</v>
      </c>
      <c r="AT16">
        <f t="shared" si="12"/>
        <v>291020.49964812759</v>
      </c>
      <c r="AU16" t="b">
        <f t="shared" si="13"/>
        <v>0</v>
      </c>
      <c r="AV16">
        <f t="shared" si="14"/>
        <v>383078.00463886186</v>
      </c>
      <c r="AW16" t="b">
        <f t="shared" si="15"/>
        <v>0</v>
      </c>
      <c r="AX16">
        <f t="shared" si="16"/>
        <v>415743.57092589658</v>
      </c>
      <c r="AY16" t="b">
        <f t="shared" si="17"/>
        <v>0</v>
      </c>
      <c r="BA16">
        <v>12</v>
      </c>
      <c r="BB16">
        <f t="shared" si="18"/>
        <v>1.3380435769423238E-2</v>
      </c>
      <c r="BC16">
        <f t="shared" si="19"/>
        <v>-1.0117150407391398E-2</v>
      </c>
      <c r="BD16">
        <f t="shared" si="20"/>
        <v>1.7324994013857497E-3</v>
      </c>
      <c r="BG16">
        <v>11</v>
      </c>
      <c r="BH16">
        <f t="shared" si="24"/>
        <v>24104.009044189315</v>
      </c>
      <c r="BI16">
        <f t="shared" si="25"/>
        <v>31728.746598983893</v>
      </c>
      <c r="BJ16">
        <f t="shared" si="26"/>
        <v>34434.298634556159</v>
      </c>
      <c r="BL16">
        <v>11</v>
      </c>
      <c r="BM16">
        <f t="shared" si="27"/>
        <v>16889.77277801072</v>
      </c>
      <c r="BN16">
        <f t="shared" si="28"/>
        <v>22232.45600370799</v>
      </c>
      <c r="BO16">
        <f t="shared" si="29"/>
        <v>24128.246825729599</v>
      </c>
      <c r="BQ16">
        <v>11</v>
      </c>
      <c r="BR16">
        <f t="shared" si="30"/>
        <v>38149.10050508588</v>
      </c>
      <c r="BS16">
        <f t="shared" si="31"/>
        <v>50216.673113837533</v>
      </c>
      <c r="BT16">
        <f t="shared" si="32"/>
        <v>54498.715007265535</v>
      </c>
      <c r="BV16" t="b">
        <f t="shared" si="33"/>
        <v>0</v>
      </c>
      <c r="BW16" t="b">
        <f t="shared" si="34"/>
        <v>0</v>
      </c>
      <c r="BX16" t="b">
        <f t="shared" si="35"/>
        <v>0</v>
      </c>
      <c r="CB16">
        <v>-2.7461998797035182E-2</v>
      </c>
      <c r="CC16">
        <v>11</v>
      </c>
      <c r="CD16">
        <v>-5.4053981736671093E-2</v>
      </c>
      <c r="CE16" s="13" t="s">
        <v>113</v>
      </c>
      <c r="CF16" s="14">
        <f xml:space="preserve"> 500000*ABS(_xlfn.PERCENTILE.INC(CB6:CB129, 1-0.99))</f>
        <v>55558.82449267256</v>
      </c>
      <c r="CG16">
        <v>1.6335043002841616E-2</v>
      </c>
      <c r="CH16">
        <v>-5.4480166351606754E-2</v>
      </c>
      <c r="CI16" s="13" t="s">
        <v>89</v>
      </c>
      <c r="CJ16" s="14">
        <f xml:space="preserve"> 500000*ABS(CJ15)</f>
        <v>47348.841918919476</v>
      </c>
      <c r="CK16">
        <v>-6.2335656807961963E-3</v>
      </c>
      <c r="CL16">
        <v>-5.0886605651342946E-2</v>
      </c>
      <c r="CP16">
        <v>11</v>
      </c>
      <c r="CQ16">
        <f t="shared" si="36"/>
        <v>107200.15528687421</v>
      </c>
      <c r="CR16">
        <f t="shared" si="37"/>
        <v>184267.77463540257</v>
      </c>
      <c r="CS16">
        <f t="shared" si="38"/>
        <v>199157.54374278974</v>
      </c>
      <c r="CT16">
        <f t="shared" si="39"/>
        <v>98024.753474252138</v>
      </c>
      <c r="CU16">
        <f t="shared" si="21"/>
        <v>157038.34290290726</v>
      </c>
      <c r="CV16">
        <f t="shared" si="22"/>
        <v>166840.11702480513</v>
      </c>
      <c r="CW16">
        <f t="shared" si="43"/>
        <v>189761.64872955953</v>
      </c>
      <c r="CX16">
        <f t="shared" si="44"/>
        <v>322158.14217198256</v>
      </c>
      <c r="CY16">
        <f t="shared" si="45"/>
        <v>348138.26448839862</v>
      </c>
      <c r="DB16" t="b">
        <f t="shared" si="40"/>
        <v>0</v>
      </c>
      <c r="DC16" t="b">
        <f t="shared" si="41"/>
        <v>0</v>
      </c>
      <c r="DD16" t="b">
        <f t="shared" si="42"/>
        <v>0</v>
      </c>
    </row>
    <row r="17" spans="1:108" x14ac:dyDescent="0.25">
      <c r="A17" s="1">
        <v>44516</v>
      </c>
      <c r="B17">
        <v>245.36999499999999</v>
      </c>
      <c r="C17">
        <v>253.60000600000001</v>
      </c>
      <c r="D17">
        <v>239.550003</v>
      </c>
      <c r="E17">
        <v>251.58999600000001</v>
      </c>
      <c r="F17">
        <v>251.58999600000001</v>
      </c>
      <c r="G17">
        <v>2242800</v>
      </c>
      <c r="H17">
        <f xml:space="preserve"> (ENPH[[#This Row],[Close]]-E16)/E16</f>
        <v>2.8114865772530601E-2</v>
      </c>
      <c r="K17" s="1">
        <v>44516</v>
      </c>
      <c r="L17">
        <v>360.97000100000002</v>
      </c>
      <c r="M17">
        <v>366.959991</v>
      </c>
      <c r="N17">
        <v>356.01001000000002</v>
      </c>
      <c r="O17">
        <v>360.5</v>
      </c>
      <c r="P17">
        <v>360.5</v>
      </c>
      <c r="Q17">
        <v>761900</v>
      </c>
      <c r="R17">
        <f xml:space="preserve"> (SEDG4[[#This Row],[Close]]-O16)/O16</f>
        <v>-2.1258076388985445E-2</v>
      </c>
      <c r="V17">
        <f xml:space="preserve"> X17/(2*ENPH[[#This Row],[Close]])</f>
        <v>2089.2931778142197</v>
      </c>
      <c r="W17">
        <f xml:space="preserve"> X17/(2*SEDG4[[#This Row],[Close]])</f>
        <v>1458.1005887631259</v>
      </c>
      <c r="X17">
        <f t="shared" si="0"/>
        <v>1051290.5244982138</v>
      </c>
      <c r="Y17">
        <f t="shared" si="23"/>
        <v>3.6403140346339827E-3</v>
      </c>
      <c r="Z17">
        <f xml:space="preserve"> V17*ENPH[[#This Row],[Close]]</f>
        <v>525645.26224910689</v>
      </c>
      <c r="AA17">
        <f xml:space="preserve"> W17*SEDG4[[#This Row],[Close]]</f>
        <v>525645.26224910689</v>
      </c>
      <c r="AB17">
        <f t="shared" si="1"/>
        <v>1051290.5244982138</v>
      </c>
      <c r="AC17" t="b">
        <f t="shared" si="2"/>
        <v>1</v>
      </c>
      <c r="AE17">
        <v>13</v>
      </c>
      <c r="AF17">
        <f t="shared" si="3"/>
        <v>159628.45695914151</v>
      </c>
      <c r="AG17">
        <f t="shared" si="4"/>
        <v>210123.17293601282</v>
      </c>
      <c r="AH17">
        <f t="shared" si="5"/>
        <v>228040.65279877358</v>
      </c>
      <c r="AJ17">
        <v>13</v>
      </c>
      <c r="AK17">
        <f t="shared" si="6"/>
        <v>143275.28267343494</v>
      </c>
      <c r="AL17">
        <f t="shared" si="7"/>
        <v>188597.05576401131</v>
      </c>
      <c r="AM17">
        <f t="shared" si="8"/>
        <v>204678.9752477642</v>
      </c>
      <c r="AO17">
        <v>13</v>
      </c>
      <c r="AP17">
        <f t="shared" si="9"/>
        <v>291403.03664546355</v>
      </c>
      <c r="AQ17">
        <f t="shared" si="10"/>
        <v>383581.54823739588</v>
      </c>
      <c r="AR17">
        <f t="shared" si="11"/>
        <v>416290.05235066218</v>
      </c>
      <c r="AT17">
        <f t="shared" si="12"/>
        <v>302903.73963257647</v>
      </c>
      <c r="AU17" t="b">
        <f t="shared" si="13"/>
        <v>0</v>
      </c>
      <c r="AV17">
        <f t="shared" si="14"/>
        <v>398720.22870002413</v>
      </c>
      <c r="AW17" t="b">
        <f t="shared" si="15"/>
        <v>0</v>
      </c>
      <c r="AX17">
        <f t="shared" si="16"/>
        <v>432719.62804653775</v>
      </c>
      <c r="AY17" t="b">
        <f t="shared" si="17"/>
        <v>0</v>
      </c>
      <c r="BA17">
        <v>13</v>
      </c>
      <c r="BB17">
        <f t="shared" si="18"/>
        <v>5.814563868833362E-3</v>
      </c>
      <c r="BC17">
        <f t="shared" si="19"/>
        <v>5.5843077161284076E-3</v>
      </c>
      <c r="BD17">
        <f t="shared" si="20"/>
        <v>5.7032556902866256E-3</v>
      </c>
      <c r="BG17">
        <v>12</v>
      </c>
      <c r="BH17">
        <f t="shared" si="24"/>
        <v>25175.816361284502</v>
      </c>
      <c r="BI17">
        <f t="shared" si="25"/>
        <v>33139.595006180622</v>
      </c>
      <c r="BJ17">
        <f t="shared" si="26"/>
        <v>35965.45194469214</v>
      </c>
      <c r="BL17">
        <v>12</v>
      </c>
      <c r="BM17">
        <f t="shared" si="27"/>
        <v>17640.792328922769</v>
      </c>
      <c r="BN17">
        <f t="shared" si="28"/>
        <v>23221.042963582011</v>
      </c>
      <c r="BO17">
        <f t="shared" si="29"/>
        <v>25201.131898461095</v>
      </c>
      <c r="BQ17">
        <v>12</v>
      </c>
      <c r="BR17">
        <f t="shared" si="30"/>
        <v>39845.435956462061</v>
      </c>
      <c r="BS17">
        <f t="shared" si="31"/>
        <v>52449.604473302104</v>
      </c>
      <c r="BT17">
        <f t="shared" si="32"/>
        <v>56922.051366374377</v>
      </c>
      <c r="BV17" t="b">
        <f t="shared" si="33"/>
        <v>0</v>
      </c>
      <c r="BW17" t="b">
        <f t="shared" si="34"/>
        <v>0</v>
      </c>
      <c r="BX17" t="b">
        <f t="shared" si="35"/>
        <v>0</v>
      </c>
      <c r="CB17">
        <v>2.8114865772530601E-2</v>
      </c>
      <c r="CC17">
        <v>12</v>
      </c>
      <c r="CD17">
        <v>-5.2559995999999956E-2</v>
      </c>
      <c r="CE17" s="4" t="s">
        <v>75</v>
      </c>
      <c r="CF17" s="12">
        <v>5.0000000000000001E-3</v>
      </c>
      <c r="CG17">
        <v>-2.1258076388985445E-2</v>
      </c>
      <c r="CH17">
        <v>-5.1972389593250255E-2</v>
      </c>
      <c r="CI17" s="4" t="s">
        <v>75</v>
      </c>
      <c r="CJ17" s="4">
        <v>0.995</v>
      </c>
      <c r="CK17">
        <v>3.6403140346339827E-3</v>
      </c>
      <c r="CL17">
        <v>-4.9751408027048777E-2</v>
      </c>
      <c r="CP17">
        <v>12</v>
      </c>
      <c r="CQ17">
        <f t="shared" si="36"/>
        <v>111966.91050255523</v>
      </c>
      <c r="CR17">
        <f t="shared" si="37"/>
        <v>192461.41366022205</v>
      </c>
      <c r="CS17">
        <f t="shared" si="38"/>
        <v>208013.27028383518</v>
      </c>
      <c r="CT17">
        <f t="shared" si="39"/>
        <v>102383.51586259776</v>
      </c>
      <c r="CU17">
        <f t="shared" si="21"/>
        <v>164021.19976623118</v>
      </c>
      <c r="CV17">
        <f t="shared" si="22"/>
        <v>174258.81894631436</v>
      </c>
      <c r="CW17">
        <f t="shared" si="43"/>
        <v>198199.57800678149</v>
      </c>
      <c r="CX17">
        <f t="shared" si="44"/>
        <v>336483.20541804697</v>
      </c>
      <c r="CY17">
        <f t="shared" si="45"/>
        <v>363618.55818375113</v>
      </c>
      <c r="DB17" t="b">
        <f t="shared" si="40"/>
        <v>0</v>
      </c>
      <c r="DC17" t="b">
        <f t="shared" si="41"/>
        <v>0</v>
      </c>
      <c r="DD17" t="b">
        <f t="shared" si="42"/>
        <v>0</v>
      </c>
    </row>
    <row r="18" spans="1:108" x14ac:dyDescent="0.25">
      <c r="A18" s="1">
        <v>44517</v>
      </c>
      <c r="B18">
        <v>252.009995</v>
      </c>
      <c r="C18">
        <v>260.55999800000001</v>
      </c>
      <c r="D18">
        <v>250.520004</v>
      </c>
      <c r="E18">
        <v>254.86000100000001</v>
      </c>
      <c r="F18">
        <v>254.86000100000001</v>
      </c>
      <c r="G18">
        <v>1772100</v>
      </c>
      <c r="H18">
        <f xml:space="preserve"> (ENPH[[#This Row],[Close]]-E17)/E17</f>
        <v>1.29973570173275E-2</v>
      </c>
      <c r="K18" s="1">
        <v>44517</v>
      </c>
      <c r="L18">
        <v>361.14001500000001</v>
      </c>
      <c r="M18">
        <v>368.83999599999999</v>
      </c>
      <c r="N18">
        <v>360</v>
      </c>
      <c r="O18">
        <v>365</v>
      </c>
      <c r="P18">
        <v>365</v>
      </c>
      <c r="Q18">
        <v>423900</v>
      </c>
      <c r="R18">
        <f xml:space="preserve"> (SEDG4[[#This Row],[Close]]-O17)/O17</f>
        <v>1.2482662968099861E-2</v>
      </c>
      <c r="V18">
        <f xml:space="preserve"> X18/(2*ENPH[[#This Row],[Close]])</f>
        <v>2088.7800139661817</v>
      </c>
      <c r="W18">
        <f xml:space="preserve"> X18/(2*SEDG4[[#This Row],[Close]])</f>
        <v>1458.4834971183593</v>
      </c>
      <c r="X18">
        <f t="shared" si="0"/>
        <v>1064692.9528964022</v>
      </c>
      <c r="Y18">
        <f t="shared" si="23"/>
        <v>1.2748548651273617E-2</v>
      </c>
      <c r="Z18">
        <f xml:space="preserve"> V18*ENPH[[#This Row],[Close]]</f>
        <v>532346.47644820111</v>
      </c>
      <c r="AA18">
        <f xml:space="preserve"> W18*SEDG4[[#This Row],[Close]]</f>
        <v>532346.47644820111</v>
      </c>
      <c r="AB18">
        <f t="shared" si="1"/>
        <v>1064692.9528964022</v>
      </c>
      <c r="AC18" t="b">
        <f t="shared" si="2"/>
        <v>1</v>
      </c>
      <c r="AE18">
        <v>14</v>
      </c>
      <c r="AF18">
        <f t="shared" si="3"/>
        <v>165654.27849688151</v>
      </c>
      <c r="AG18">
        <f t="shared" si="4"/>
        <v>218055.12169487463</v>
      </c>
      <c r="AH18">
        <f t="shared" si="5"/>
        <v>236648.96928125928</v>
      </c>
      <c r="AJ18">
        <v>14</v>
      </c>
      <c r="AK18">
        <f t="shared" si="6"/>
        <v>148683.78752655367</v>
      </c>
      <c r="AL18">
        <f t="shared" si="7"/>
        <v>195716.41419311657</v>
      </c>
      <c r="AM18">
        <f t="shared" si="8"/>
        <v>212405.41075221953</v>
      </c>
      <c r="AO18">
        <v>14</v>
      </c>
      <c r="AP18">
        <f t="shared" si="9"/>
        <v>302403.22250098758</v>
      </c>
      <c r="AQ18">
        <f t="shared" si="10"/>
        <v>398061.38472068775</v>
      </c>
      <c r="AR18">
        <f t="shared" si="11"/>
        <v>432004.60357283935</v>
      </c>
      <c r="AT18">
        <f t="shared" si="12"/>
        <v>314338.06602343521</v>
      </c>
      <c r="AU18" t="b">
        <f t="shared" si="13"/>
        <v>0</v>
      </c>
      <c r="AV18">
        <f t="shared" si="14"/>
        <v>413771.53588799119</v>
      </c>
      <c r="AW18" t="b">
        <f t="shared" si="15"/>
        <v>0</v>
      </c>
      <c r="AX18">
        <f t="shared" si="16"/>
        <v>449054.38003347884</v>
      </c>
      <c r="AY18" t="b">
        <f t="shared" si="17"/>
        <v>0</v>
      </c>
      <c r="BA18">
        <v>14</v>
      </c>
      <c r="BB18">
        <f t="shared" si="18"/>
        <v>-6.2701449522676483E-4</v>
      </c>
      <c r="BC18">
        <f t="shared" si="19"/>
        <v>-1.1037278616509397E-2</v>
      </c>
      <c r="BD18">
        <f t="shared" si="20"/>
        <v>-5.6581214074794689E-3</v>
      </c>
      <c r="BG18">
        <v>13</v>
      </c>
      <c r="BH18">
        <f t="shared" si="24"/>
        <v>26203.820464044558</v>
      </c>
      <c r="BI18">
        <f t="shared" si="25"/>
        <v>34492.784080221922</v>
      </c>
      <c r="BJ18">
        <f t="shared" si="26"/>
        <v>37434.029234349371</v>
      </c>
      <c r="BL18">
        <v>13</v>
      </c>
      <c r="BM18">
        <f t="shared" si="27"/>
        <v>18361.11879738075</v>
      </c>
      <c r="BN18">
        <f t="shared" si="28"/>
        <v>24169.227804715476</v>
      </c>
      <c r="BO18">
        <f t="shared" si="29"/>
        <v>26230.169710543927</v>
      </c>
      <c r="BQ18">
        <v>13</v>
      </c>
      <c r="BR18">
        <f t="shared" si="30"/>
        <v>41472.444632236191</v>
      </c>
      <c r="BS18">
        <f t="shared" si="31"/>
        <v>54591.279158759884</v>
      </c>
      <c r="BT18">
        <f t="shared" si="32"/>
        <v>59246.349474623123</v>
      </c>
      <c r="BV18" t="b">
        <f t="shared" si="33"/>
        <v>0</v>
      </c>
      <c r="BW18" t="b">
        <f t="shared" si="34"/>
        <v>0</v>
      </c>
      <c r="BX18" t="b">
        <f t="shared" si="35"/>
        <v>0</v>
      </c>
      <c r="CB18">
        <v>1.29973570173275E-2</v>
      </c>
      <c r="CC18">
        <v>13</v>
      </c>
      <c r="CD18">
        <v>-5.2454087627311942E-2</v>
      </c>
      <c r="CE18" s="13" t="s">
        <v>80</v>
      </c>
      <c r="CF18" s="14">
        <f xml:space="preserve"> ROUND(CF17*CF7,0)</f>
        <v>1</v>
      </c>
      <c r="CG18">
        <v>1.2482662968099861E-2</v>
      </c>
      <c r="CH18">
        <v>-4.7596440717728304E-2</v>
      </c>
      <c r="CI18" s="13" t="s">
        <v>116</v>
      </c>
      <c r="CJ18" s="14">
        <f xml:space="preserve"> _xlfn.PERCENTILE.INC(CG6:CG129, 1-0.995)</f>
        <v>-0.10060837602732087</v>
      </c>
      <c r="CK18">
        <v>1.2748548651273617E-2</v>
      </c>
      <c r="CL18">
        <v>-4.8747312394792061E-2</v>
      </c>
      <c r="CP18">
        <v>13</v>
      </c>
      <c r="CQ18">
        <f t="shared" si="36"/>
        <v>116538.85532921834</v>
      </c>
      <c r="CR18">
        <f t="shared" si="37"/>
        <v>200320.19051283546</v>
      </c>
      <c r="CS18">
        <f t="shared" si="38"/>
        <v>216507.07609380927</v>
      </c>
      <c r="CT18">
        <f t="shared" si="39"/>
        <v>106564.14193848561</v>
      </c>
      <c r="CU18">
        <f t="shared" si="21"/>
        <v>170718.67737250292</v>
      </c>
      <c r="CV18">
        <f t="shared" si="22"/>
        <v>181374.32925383368</v>
      </c>
      <c r="CW18">
        <f t="shared" si="43"/>
        <v>206292.66132262626</v>
      </c>
      <c r="CX18">
        <f t="shared" si="44"/>
        <v>350222.82405506342</v>
      </c>
      <c r="CY18">
        <f t="shared" si="45"/>
        <v>378466.19467300619</v>
      </c>
      <c r="DB18" t="b">
        <f t="shared" si="40"/>
        <v>0</v>
      </c>
      <c r="DC18" t="b">
        <f t="shared" si="41"/>
        <v>0</v>
      </c>
      <c r="DD18" t="b">
        <f t="shared" si="42"/>
        <v>0</v>
      </c>
    </row>
    <row r="19" spans="1:108" x14ac:dyDescent="0.25">
      <c r="A19" s="1">
        <v>44518</v>
      </c>
      <c r="B19">
        <v>258.32000699999998</v>
      </c>
      <c r="C19">
        <v>259.75</v>
      </c>
      <c r="D19">
        <v>249.020004</v>
      </c>
      <c r="E19">
        <v>254.479996</v>
      </c>
      <c r="F19">
        <v>254.479996</v>
      </c>
      <c r="G19">
        <v>1537400</v>
      </c>
      <c r="H19">
        <f xml:space="preserve"> (ENPH[[#This Row],[Close]]-E18)/E18</f>
        <v>-1.4910342874871574E-3</v>
      </c>
      <c r="K19" s="1">
        <v>44518</v>
      </c>
      <c r="L19">
        <v>364.48998999999998</v>
      </c>
      <c r="M19">
        <v>364.72000100000002</v>
      </c>
      <c r="N19">
        <v>352.58999599999999</v>
      </c>
      <c r="O19">
        <v>355.42001299999998</v>
      </c>
      <c r="P19">
        <v>355.42001299999998</v>
      </c>
      <c r="Q19">
        <v>463000</v>
      </c>
      <c r="R19">
        <f xml:space="preserve"> (SEDG4[[#This Row],[Close]]-O18)/O18</f>
        <v>-2.6246539726027442E-2</v>
      </c>
      <c r="V19">
        <f xml:space="preserve"> X19/(2*ENPH[[#This Row],[Close]])</f>
        <v>2063.7526948924706</v>
      </c>
      <c r="W19">
        <f xml:space="preserve"> X19/(2*SEDG4[[#This Row],[Close]])</f>
        <v>1477.6426715769242</v>
      </c>
      <c r="X19">
        <f t="shared" si="0"/>
        <v>1050367.5550824502</v>
      </c>
      <c r="Y19">
        <f t="shared" si="23"/>
        <v>-1.3454956919721404E-2</v>
      </c>
      <c r="Z19">
        <f xml:space="preserve"> V19*ENPH[[#This Row],[Close]]</f>
        <v>525183.77754122508</v>
      </c>
      <c r="AA19">
        <f xml:space="preserve"> W19*SEDG4[[#This Row],[Close]]</f>
        <v>525183.77754122508</v>
      </c>
      <c r="AB19">
        <f t="shared" si="1"/>
        <v>1050367.5550824502</v>
      </c>
      <c r="AC19" t="b">
        <f t="shared" si="2"/>
        <v>1</v>
      </c>
      <c r="AE19">
        <v>15</v>
      </c>
      <c r="AF19">
        <f t="shared" si="3"/>
        <v>171468.468522607</v>
      </c>
      <c r="AG19">
        <f t="shared" si="4"/>
        <v>225708.49427975822</v>
      </c>
      <c r="AH19">
        <f t="shared" si="5"/>
        <v>244954.95503229572</v>
      </c>
      <c r="AJ19">
        <v>15</v>
      </c>
      <c r="AK19">
        <f t="shared" si="6"/>
        <v>153902.34150697655</v>
      </c>
      <c r="AL19">
        <f t="shared" si="7"/>
        <v>202585.73524897933</v>
      </c>
      <c r="AM19">
        <f t="shared" si="8"/>
        <v>219860.48786710933</v>
      </c>
      <c r="AO19">
        <v>15</v>
      </c>
      <c r="AP19">
        <f t="shared" si="9"/>
        <v>313017.07332311157</v>
      </c>
      <c r="AQ19">
        <f t="shared" si="10"/>
        <v>412032.67814981018</v>
      </c>
      <c r="AR19">
        <f t="shared" si="11"/>
        <v>447167.24760444509</v>
      </c>
      <c r="AT19">
        <f t="shared" si="12"/>
        <v>325370.81002958352</v>
      </c>
      <c r="AU19" t="b">
        <f t="shared" si="13"/>
        <v>0</v>
      </c>
      <c r="AV19">
        <f t="shared" si="14"/>
        <v>428294.22952873755</v>
      </c>
      <c r="AW19" t="b">
        <f t="shared" si="15"/>
        <v>0</v>
      </c>
      <c r="AX19">
        <f t="shared" si="16"/>
        <v>464815.44289940502</v>
      </c>
      <c r="AY19" t="b">
        <f t="shared" si="17"/>
        <v>0</v>
      </c>
      <c r="BA19">
        <v>15</v>
      </c>
      <c r="BB19">
        <f t="shared" si="18"/>
        <v>2.0597166622882912E-2</v>
      </c>
      <c r="BC19">
        <f t="shared" si="19"/>
        <v>1.0799279903301673E-2</v>
      </c>
      <c r="BD19">
        <f t="shared" si="20"/>
        <v>1.5923407701257049E-2</v>
      </c>
      <c r="BG19">
        <v>14</v>
      </c>
      <c r="BH19">
        <f t="shared" si="24"/>
        <v>27192.989618036492</v>
      </c>
      <c r="BI19">
        <f t="shared" si="25"/>
        <v>35794.853680884771</v>
      </c>
      <c r="BJ19">
        <f t="shared" si="26"/>
        <v>38847.128025766411</v>
      </c>
      <c r="BL19">
        <v>14</v>
      </c>
      <c r="BM19">
        <f t="shared" si="27"/>
        <v>19054.233466368492</v>
      </c>
      <c r="BN19">
        <f t="shared" si="28"/>
        <v>25081.593032260567</v>
      </c>
      <c r="BO19">
        <f t="shared" si="29"/>
        <v>27220.333523383561</v>
      </c>
      <c r="BQ19">
        <v>14</v>
      </c>
      <c r="BR19">
        <f t="shared" si="30"/>
        <v>43037.989741474601</v>
      </c>
      <c r="BS19">
        <f t="shared" si="31"/>
        <v>56652.047720920651</v>
      </c>
      <c r="BT19">
        <f t="shared" si="32"/>
        <v>61482.842487820861</v>
      </c>
      <c r="BV19" t="b">
        <f t="shared" si="33"/>
        <v>0</v>
      </c>
      <c r="BW19" t="b">
        <f t="shared" si="34"/>
        <v>0</v>
      </c>
      <c r="BX19" t="b">
        <f t="shared" si="35"/>
        <v>0</v>
      </c>
      <c r="CB19">
        <v>-1.4910342874871574E-3</v>
      </c>
      <c r="CC19">
        <v>14</v>
      </c>
      <c r="CD19">
        <v>-5.2155373616442909E-2</v>
      </c>
      <c r="CE19" s="13" t="s">
        <v>79</v>
      </c>
      <c r="CF19" s="14">
        <v>-0.12306055633820956</v>
      </c>
      <c r="CG19">
        <v>-2.6246539726027442E-2</v>
      </c>
      <c r="CH19">
        <v>-4.5907474763949095E-2</v>
      </c>
      <c r="CI19" s="13" t="s">
        <v>89</v>
      </c>
      <c r="CJ19" s="14">
        <f xml:space="preserve"> 500000*ABS(CJ18)</f>
        <v>50304.18801366043</v>
      </c>
      <c r="CK19">
        <v>-1.3454956919721404E-2</v>
      </c>
      <c r="CL19">
        <v>-4.6387875946681888E-2</v>
      </c>
      <c r="CP19">
        <v>14</v>
      </c>
      <c r="CQ19">
        <f t="shared" si="36"/>
        <v>120938.08562815003</v>
      </c>
      <c r="CR19">
        <f t="shared" si="37"/>
        <v>207882.08606348527</v>
      </c>
      <c r="CS19">
        <f t="shared" si="38"/>
        <v>224680.01108956084</v>
      </c>
      <c r="CT19">
        <f t="shared" si="39"/>
        <v>110586.83634947069</v>
      </c>
      <c r="CU19">
        <f t="shared" si="21"/>
        <v>177163.1441211167</v>
      </c>
      <c r="CV19">
        <f t="shared" si="22"/>
        <v>188221.03666697771</v>
      </c>
      <c r="CW19">
        <f t="shared" si="43"/>
        <v>214080.01193263536</v>
      </c>
      <c r="CX19">
        <f t="shared" si="44"/>
        <v>363443.40061391157</v>
      </c>
      <c r="CY19">
        <f t="shared" si="45"/>
        <v>392752.93145297043</v>
      </c>
      <c r="DB19" t="b">
        <f t="shared" si="40"/>
        <v>0</v>
      </c>
      <c r="DC19" t="b">
        <f t="shared" si="41"/>
        <v>0</v>
      </c>
      <c r="DD19" t="b">
        <f t="shared" si="42"/>
        <v>0</v>
      </c>
    </row>
    <row r="20" spans="1:108" x14ac:dyDescent="0.25">
      <c r="A20" s="1">
        <v>44519</v>
      </c>
      <c r="B20">
        <v>255.83000200000001</v>
      </c>
      <c r="C20">
        <v>272</v>
      </c>
      <c r="D20">
        <v>255.020004</v>
      </c>
      <c r="E20">
        <v>267.73998999999998</v>
      </c>
      <c r="F20">
        <v>267.73998999999998</v>
      </c>
      <c r="G20">
        <v>2720000</v>
      </c>
      <c r="H20">
        <f xml:space="preserve"> (ENPH[[#This Row],[Close]]-E19)/E19</f>
        <v>5.2106233135904234E-2</v>
      </c>
      <c r="K20" s="1">
        <v>44519</v>
      </c>
      <c r="L20">
        <v>355.42001299999998</v>
      </c>
      <c r="M20">
        <v>369.290009</v>
      </c>
      <c r="N20">
        <v>352.22000100000002</v>
      </c>
      <c r="O20">
        <v>365.13000499999998</v>
      </c>
      <c r="P20">
        <v>365.13000499999998</v>
      </c>
      <c r="Q20">
        <v>507800</v>
      </c>
      <c r="R20">
        <f xml:space="preserve"> (SEDG4[[#This Row],[Close]]-O19)/O19</f>
        <v>2.7319767162351662E-2</v>
      </c>
      <c r="V20">
        <f xml:space="preserve"> X20/(2*ENPH[[#This Row],[Close]])</f>
        <v>2040.5602484160161</v>
      </c>
      <c r="W20">
        <f xml:space="preserve"> X20/(2*SEDG4[[#This Row],[Close]])</f>
        <v>1496.2878235802659</v>
      </c>
      <c r="X20">
        <f t="shared" si="0"/>
        <v>1092679.1610106032</v>
      </c>
      <c r="Y20">
        <f t="shared" si="23"/>
        <v>4.02826665041379E-2</v>
      </c>
      <c r="Z20">
        <f xml:space="preserve"> V20*ENPH[[#This Row],[Close]]</f>
        <v>546339.58050530159</v>
      </c>
      <c r="AA20">
        <f xml:space="preserve"> W20*SEDG4[[#This Row],[Close]]</f>
        <v>546339.58050530159</v>
      </c>
      <c r="AB20">
        <f t="shared" si="1"/>
        <v>1092679.1610106032</v>
      </c>
      <c r="AC20" t="b">
        <f t="shared" si="2"/>
        <v>1</v>
      </c>
      <c r="AE20">
        <v>16</v>
      </c>
      <c r="AF20">
        <f t="shared" si="3"/>
        <v>177091.8727967327</v>
      </c>
      <c r="AG20">
        <f t="shared" si="4"/>
        <v>233110.73051814814</v>
      </c>
      <c r="AH20">
        <f t="shared" si="5"/>
        <v>252988.38970961812</v>
      </c>
      <c r="AJ20">
        <v>16</v>
      </c>
      <c r="AK20">
        <f t="shared" si="6"/>
        <v>158949.65482635907</v>
      </c>
      <c r="AL20">
        <f t="shared" si="7"/>
        <v>209229.64767959513</v>
      </c>
      <c r="AM20">
        <f t="shared" si="8"/>
        <v>227070.93546622724</v>
      </c>
      <c r="AO20">
        <v>16</v>
      </c>
      <c r="AP20">
        <f t="shared" si="9"/>
        <v>323282.64321573253</v>
      </c>
      <c r="AQ20">
        <f t="shared" si="10"/>
        <v>425545.52015132143</v>
      </c>
      <c r="AR20">
        <f t="shared" si="11"/>
        <v>461832.34745104646</v>
      </c>
      <c r="AT20">
        <f t="shared" si="12"/>
        <v>336041.52762309177</v>
      </c>
      <c r="AU20" t="b">
        <f t="shared" si="13"/>
        <v>0</v>
      </c>
      <c r="AV20">
        <f t="shared" si="14"/>
        <v>442340.37819774327</v>
      </c>
      <c r="AW20" t="b">
        <f t="shared" si="15"/>
        <v>0</v>
      </c>
      <c r="AX20">
        <f t="shared" si="16"/>
        <v>480059.32517584536</v>
      </c>
      <c r="AY20" t="b">
        <f t="shared" si="17"/>
        <v>0</v>
      </c>
      <c r="BA20">
        <v>16</v>
      </c>
      <c r="BB20">
        <f t="shared" si="18"/>
        <v>-9.1873460794940597E-3</v>
      </c>
      <c r="BC20">
        <f t="shared" si="19"/>
        <v>-1.1682625058690187E-2</v>
      </c>
      <c r="BD20">
        <f t="shared" si="20"/>
        <v>-1.0362804533194391E-2</v>
      </c>
      <c r="BG20">
        <v>15</v>
      </c>
      <c r="BH20">
        <f t="shared" si="24"/>
        <v>28147.418386441776</v>
      </c>
      <c r="BI20">
        <f t="shared" si="25"/>
        <v>37051.193590316216</v>
      </c>
      <c r="BJ20">
        <f t="shared" si="26"/>
        <v>40210.597694916825</v>
      </c>
      <c r="BL20">
        <v>15</v>
      </c>
      <c r="BM20">
        <f t="shared" si="27"/>
        <v>19723.005412214068</v>
      </c>
      <c r="BN20">
        <f t="shared" si="28"/>
        <v>25961.915287506275</v>
      </c>
      <c r="BO20">
        <f t="shared" si="29"/>
        <v>28175.722017448668</v>
      </c>
      <c r="BQ20">
        <v>15</v>
      </c>
      <c r="BR20">
        <f t="shared" si="30"/>
        <v>44548.551695881768</v>
      </c>
      <c r="BS20">
        <f t="shared" si="31"/>
        <v>58640.440497640288</v>
      </c>
      <c r="BT20">
        <f t="shared" si="32"/>
        <v>63640.788136973948</v>
      </c>
      <c r="BV20" t="b">
        <f t="shared" si="33"/>
        <v>0</v>
      </c>
      <c r="BW20" t="b">
        <f t="shared" si="34"/>
        <v>0</v>
      </c>
      <c r="BX20" t="b">
        <f t="shared" si="35"/>
        <v>0</v>
      </c>
      <c r="CB20">
        <v>5.2106233135904234E-2</v>
      </c>
      <c r="CC20">
        <v>15</v>
      </c>
      <c r="CD20">
        <v>-4.8635653977566445E-2</v>
      </c>
      <c r="CE20" s="13" t="s">
        <v>88</v>
      </c>
      <c r="CF20" s="14">
        <f xml:space="preserve"> 500000*ABS(CF19)</f>
        <v>61530.278169104778</v>
      </c>
      <c r="CG20">
        <v>2.7319767162351662E-2</v>
      </c>
      <c r="CH20">
        <v>-4.2390392457793011E-2</v>
      </c>
      <c r="CK20">
        <v>4.02826665041379E-2</v>
      </c>
      <c r="CL20">
        <v>-4.6203056438514127E-2</v>
      </c>
      <c r="CP20">
        <v>15</v>
      </c>
      <c r="CQ20">
        <f t="shared" si="36"/>
        <v>125182.81155717433</v>
      </c>
      <c r="CR20">
        <f t="shared" si="37"/>
        <v>215178.40199498157</v>
      </c>
      <c r="CS20">
        <f t="shared" si="38"/>
        <v>232565.90628834625</v>
      </c>
      <c r="CT20">
        <f t="shared" si="39"/>
        <v>114468.25062209832</v>
      </c>
      <c r="CU20">
        <f t="shared" si="21"/>
        <v>183381.27621418276</v>
      </c>
      <c r="CV20">
        <f t="shared" si="22"/>
        <v>194827.28242139361</v>
      </c>
      <c r="CW20">
        <f t="shared" si="43"/>
        <v>221593.86476746787</v>
      </c>
      <c r="CX20">
        <f t="shared" si="44"/>
        <v>376199.66030088934</v>
      </c>
      <c r="CY20">
        <f t="shared" si="45"/>
        <v>406537.906989665</v>
      </c>
      <c r="DB20" t="b">
        <f t="shared" si="40"/>
        <v>0</v>
      </c>
      <c r="DC20" t="b">
        <f t="shared" si="41"/>
        <v>0</v>
      </c>
      <c r="DD20" t="b">
        <f t="shared" si="42"/>
        <v>0</v>
      </c>
    </row>
    <row r="21" spans="1:108" x14ac:dyDescent="0.25">
      <c r="A21" s="1">
        <v>44522</v>
      </c>
      <c r="B21">
        <v>269.16000400000001</v>
      </c>
      <c r="C21">
        <v>282.459991</v>
      </c>
      <c r="D21">
        <v>260.57998700000002</v>
      </c>
      <c r="E21">
        <v>261.11999500000002</v>
      </c>
      <c r="F21">
        <v>261.11999500000002</v>
      </c>
      <c r="G21">
        <v>3026700</v>
      </c>
      <c r="H21">
        <f xml:space="preserve"> (ENPH[[#This Row],[Close]]-E20)/E20</f>
        <v>-2.4725462191882357E-2</v>
      </c>
      <c r="K21" s="1">
        <v>44522</v>
      </c>
      <c r="L21">
        <v>368</v>
      </c>
      <c r="M21">
        <v>389.709991</v>
      </c>
      <c r="N21">
        <v>348.82998700000002</v>
      </c>
      <c r="O21">
        <v>353.64999399999999</v>
      </c>
      <c r="P21">
        <v>353.64999399999999</v>
      </c>
      <c r="Q21">
        <v>1116800</v>
      </c>
      <c r="R21">
        <f xml:space="preserve"> (SEDG4[[#This Row],[Close]]-O20)/O20</f>
        <v>-3.144088637689469E-2</v>
      </c>
      <c r="V21">
        <f xml:space="preserve"> X21/(2*ENPH[[#This Row],[Close]])</f>
        <v>2033.941373677276</v>
      </c>
      <c r="W21">
        <f xml:space="preserve"> X21/(2*SEDG4[[#This Row],[Close]])</f>
        <v>1501.7751175895778</v>
      </c>
      <c r="X21">
        <f t="shared" si="0"/>
        <v>1062205.5226498069</v>
      </c>
      <c r="Y21">
        <f t="shared" si="23"/>
        <v>-2.7888916937531448E-2</v>
      </c>
      <c r="Z21">
        <f xml:space="preserve"> V21*ENPH[[#This Row],[Close]]</f>
        <v>531102.76132490346</v>
      </c>
      <c r="AA21">
        <f xml:space="preserve"> W21*SEDG4[[#This Row],[Close]]</f>
        <v>531102.76132490346</v>
      </c>
      <c r="AB21">
        <f t="shared" si="1"/>
        <v>1062205.5226498069</v>
      </c>
      <c r="AC21" t="b">
        <f t="shared" si="2"/>
        <v>1</v>
      </c>
      <c r="AE21">
        <v>17</v>
      </c>
      <c r="AF21">
        <f t="shared" si="3"/>
        <v>182542.12424484393</v>
      </c>
      <c r="AG21">
        <f t="shared" si="4"/>
        <v>240285.04109780476</v>
      </c>
      <c r="AH21">
        <f t="shared" si="5"/>
        <v>260774.46320691987</v>
      </c>
      <c r="AJ21">
        <v>17</v>
      </c>
      <c r="AK21">
        <f t="shared" si="6"/>
        <v>163841.5540011366</v>
      </c>
      <c r="AL21">
        <f t="shared" si="7"/>
        <v>215668.98434843493</v>
      </c>
      <c r="AM21">
        <f t="shared" si="8"/>
        <v>234059.36285876654</v>
      </c>
      <c r="AO21">
        <v>17</v>
      </c>
      <c r="AP21">
        <f t="shared" si="9"/>
        <v>333232.12122683343</v>
      </c>
      <c r="AQ21">
        <f t="shared" si="10"/>
        <v>438642.28202307672</v>
      </c>
      <c r="AR21">
        <f t="shared" si="11"/>
        <v>476045.88746690494</v>
      </c>
      <c r="AT21">
        <f t="shared" si="12"/>
        <v>346383.67824598053</v>
      </c>
      <c r="AU21" t="b">
        <f t="shared" si="13"/>
        <v>0</v>
      </c>
      <c r="AV21">
        <f t="shared" si="14"/>
        <v>455954.02544623968</v>
      </c>
      <c r="AW21" t="b">
        <f t="shared" si="15"/>
        <v>0</v>
      </c>
      <c r="AX21">
        <f t="shared" si="16"/>
        <v>494833.82606568641</v>
      </c>
      <c r="AY21" t="b">
        <f t="shared" si="17"/>
        <v>0</v>
      </c>
      <c r="BA21">
        <v>17</v>
      </c>
      <c r="BB21">
        <f t="shared" si="18"/>
        <v>-1.420553827806063E-2</v>
      </c>
      <c r="BC21">
        <f t="shared" si="19"/>
        <v>-3.5851479233540715E-3</v>
      </c>
      <c r="BD21">
        <f t="shared" si="20"/>
        <v>-9.2208398055098253E-3</v>
      </c>
      <c r="BG21">
        <v>16</v>
      </c>
      <c r="BH21">
        <f t="shared" si="24"/>
        <v>29070.528706512381</v>
      </c>
      <c r="BI21">
        <f t="shared" si="25"/>
        <v>38266.308195307116</v>
      </c>
      <c r="BJ21">
        <f t="shared" si="26"/>
        <v>41529.326723589118</v>
      </c>
      <c r="BL21">
        <v>16</v>
      </c>
      <c r="BM21">
        <f t="shared" si="27"/>
        <v>20369.832399643692</v>
      </c>
      <c r="BN21">
        <f t="shared" si="28"/>
        <v>26813.350811775879</v>
      </c>
      <c r="BO21">
        <f t="shared" si="29"/>
        <v>29099.760570919556</v>
      </c>
      <c r="BQ21">
        <v>16</v>
      </c>
      <c r="BR21">
        <f t="shared" si="30"/>
        <v>46009.546350882738</v>
      </c>
      <c r="BS21">
        <f t="shared" si="31"/>
        <v>60563.586523100748</v>
      </c>
      <c r="BT21">
        <f t="shared" si="32"/>
        <v>65727.923358403903</v>
      </c>
      <c r="BV21" t="b">
        <f t="shared" si="33"/>
        <v>0</v>
      </c>
      <c r="BW21" t="b">
        <f t="shared" si="34"/>
        <v>0</v>
      </c>
      <c r="BX21" t="b">
        <f t="shared" si="35"/>
        <v>0</v>
      </c>
      <c r="CB21">
        <v>-2.4725462191882357E-2</v>
      </c>
      <c r="CC21">
        <v>16</v>
      </c>
      <c r="CD21">
        <v>-4.8445800852584875E-2</v>
      </c>
      <c r="CE21" s="13" t="s">
        <v>111</v>
      </c>
      <c r="CF21" s="14"/>
      <c r="CG21">
        <v>-3.144088637689469E-2</v>
      </c>
      <c r="CH21">
        <v>-4.0476310467207781E-2</v>
      </c>
      <c r="CK21">
        <v>-2.7888916937531448E-2</v>
      </c>
      <c r="CL21">
        <v>-4.4171663991948225E-2</v>
      </c>
      <c r="CP21">
        <v>16</v>
      </c>
      <c r="CQ21">
        <f t="shared" si="36"/>
        <v>129288.251837962</v>
      </c>
      <c r="CR21">
        <f t="shared" si="37"/>
        <v>222235.29797069024</v>
      </c>
      <c r="CS21">
        <f t="shared" si="38"/>
        <v>240193.03518677325</v>
      </c>
      <c r="CT21">
        <f t="shared" si="39"/>
        <v>118222.30088770228</v>
      </c>
      <c r="CU21">
        <f t="shared" si="21"/>
        <v>189395.3676756779</v>
      </c>
      <c r="CV21">
        <f t="shared" si="22"/>
        <v>201216.75205464172</v>
      </c>
      <c r="CW21">
        <f t="shared" si="43"/>
        <v>228861.15943097105</v>
      </c>
      <c r="CX21">
        <f t="shared" si="44"/>
        <v>388537.33845179516</v>
      </c>
      <c r="CY21">
        <f t="shared" si="45"/>
        <v>419870.54489946464</v>
      </c>
      <c r="DB21" t="b">
        <f t="shared" si="40"/>
        <v>0</v>
      </c>
      <c r="DC21" t="b">
        <f t="shared" si="41"/>
        <v>0</v>
      </c>
      <c r="DD21" t="b">
        <f t="shared" si="42"/>
        <v>0</v>
      </c>
    </row>
    <row r="22" spans="1:108" x14ac:dyDescent="0.25">
      <c r="A22" s="1">
        <v>44523</v>
      </c>
      <c r="B22">
        <v>258.07998700000002</v>
      </c>
      <c r="C22">
        <v>265.26001000000002</v>
      </c>
      <c r="D22">
        <v>245.740005</v>
      </c>
      <c r="E22">
        <v>250.5</v>
      </c>
      <c r="F22">
        <v>250.5</v>
      </c>
      <c r="G22">
        <v>2598300</v>
      </c>
      <c r="H22">
        <f xml:space="preserve"> (ENPH[[#This Row],[Close]]-E21)/E21</f>
        <v>-4.0670937512847366E-2</v>
      </c>
      <c r="K22" s="1">
        <v>44523</v>
      </c>
      <c r="L22">
        <v>354.45001200000002</v>
      </c>
      <c r="M22">
        <v>363.48001099999999</v>
      </c>
      <c r="N22">
        <v>340.10000600000001</v>
      </c>
      <c r="O22">
        <v>350.01998900000001</v>
      </c>
      <c r="P22">
        <v>350.01998900000001</v>
      </c>
      <c r="Q22">
        <v>600700</v>
      </c>
      <c r="R22">
        <f xml:space="preserve"> (SEDG4[[#This Row],[Close]]-O21)/O21</f>
        <v>-1.0264400004485743E-2</v>
      </c>
      <c r="V22">
        <f xml:space="preserve"> X22/(2*ENPH[[#This Row],[Close]])</f>
        <v>2064.1990944475901</v>
      </c>
      <c r="W22">
        <f xml:space="preserve"> X22/(2*SEDG4[[#This Row],[Close]])</f>
        <v>1477.2924101746694</v>
      </c>
      <c r="X22">
        <f t="shared" si="0"/>
        <v>1034163.7463182426</v>
      </c>
      <c r="Y22">
        <f t="shared" si="23"/>
        <v>-2.639957685553217E-2</v>
      </c>
      <c r="Z22">
        <f xml:space="preserve"> V22*ENPH[[#This Row],[Close]]</f>
        <v>517081.87315912131</v>
      </c>
      <c r="AA22">
        <f xml:space="preserve"> W22*SEDG4[[#This Row],[Close]]</f>
        <v>517081.87315912126</v>
      </c>
      <c r="AB22">
        <f t="shared" si="1"/>
        <v>1034163.7463182425</v>
      </c>
      <c r="AC22" t="b">
        <f t="shared" si="2"/>
        <v>1</v>
      </c>
      <c r="AE22">
        <v>18</v>
      </c>
      <c r="AF22">
        <f t="shared" si="3"/>
        <v>187834.29622139272</v>
      </c>
      <c r="AG22">
        <f t="shared" si="4"/>
        <v>247251.2674750986</v>
      </c>
      <c r="AH22">
        <f t="shared" si="5"/>
        <v>268334.70888770389</v>
      </c>
      <c r="AJ22">
        <v>18</v>
      </c>
      <c r="AK22">
        <f t="shared" si="6"/>
        <v>168591.56819246931</v>
      </c>
      <c r="AL22">
        <f t="shared" si="7"/>
        <v>221921.55404927084</v>
      </c>
      <c r="AM22">
        <f t="shared" si="8"/>
        <v>240845.09741781329</v>
      </c>
      <c r="AO22">
        <v>18</v>
      </c>
      <c r="AP22">
        <f t="shared" si="9"/>
        <v>342893.02388663351</v>
      </c>
      <c r="AQ22">
        <f t="shared" si="10"/>
        <v>451359.18450383394</v>
      </c>
      <c r="AR22">
        <f t="shared" si="11"/>
        <v>489847.176980905</v>
      </c>
      <c r="AT22">
        <f t="shared" si="12"/>
        <v>356425.864413862</v>
      </c>
      <c r="AU22" t="b">
        <f t="shared" si="13"/>
        <v>0</v>
      </c>
      <c r="AV22">
        <f t="shared" si="14"/>
        <v>469172.82152436941</v>
      </c>
      <c r="AW22" t="b">
        <f t="shared" si="15"/>
        <v>0</v>
      </c>
      <c r="AX22">
        <f t="shared" si="16"/>
        <v>509179.80630551721</v>
      </c>
      <c r="AY22" t="b">
        <f t="shared" si="17"/>
        <v>0</v>
      </c>
      <c r="BA22">
        <v>18</v>
      </c>
      <c r="BB22">
        <f t="shared" si="18"/>
        <v>6.0290936905824967E-3</v>
      </c>
      <c r="BC22">
        <f t="shared" si="19"/>
        <v>-1.4351578305144014E-3</v>
      </c>
      <c r="BD22">
        <f t="shared" si="20"/>
        <v>2.4676743226546057E-3</v>
      </c>
      <c r="BG22">
        <v>17</v>
      </c>
      <c r="BH22">
        <f t="shared" si="24"/>
        <v>29965.215112375226</v>
      </c>
      <c r="BI22">
        <f t="shared" si="25"/>
        <v>39444.007647922488</v>
      </c>
      <c r="BJ22">
        <f t="shared" si="26"/>
        <v>42807.450160536035</v>
      </c>
      <c r="BL22">
        <v>17</v>
      </c>
      <c r="BM22">
        <f t="shared" si="27"/>
        <v>20996.742639964948</v>
      </c>
      <c r="BN22">
        <f t="shared" si="28"/>
        <v>27638.569393423251</v>
      </c>
      <c r="BO22">
        <f t="shared" si="29"/>
        <v>29995.346628521354</v>
      </c>
      <c r="BQ22">
        <v>17</v>
      </c>
      <c r="BR22">
        <f t="shared" si="30"/>
        <v>47425.55484786028</v>
      </c>
      <c r="BS22">
        <f t="shared" si="31"/>
        <v>62427.516075244654</v>
      </c>
      <c r="BT22">
        <f t="shared" si="32"/>
        <v>67750.792639800391</v>
      </c>
      <c r="BV22" t="b">
        <f t="shared" si="33"/>
        <v>0</v>
      </c>
      <c r="BW22" t="b">
        <f t="shared" si="34"/>
        <v>0</v>
      </c>
      <c r="BX22" t="b">
        <f t="shared" si="35"/>
        <v>0</v>
      </c>
      <c r="CB22">
        <v>-4.0670937512847366E-2</v>
      </c>
      <c r="CC22">
        <v>17</v>
      </c>
      <c r="CD22">
        <v>-4.7308373855221034E-2</v>
      </c>
      <c r="CE22" s="13" t="s">
        <v>112</v>
      </c>
      <c r="CF22" s="14">
        <f xml:space="preserve"> _xlfn.PERCENTILE.INC(CB6:CB129, 1-99.5%)</f>
        <v>-0.12009651759338663</v>
      </c>
      <c r="CG22">
        <v>-1.0264400004485743E-2</v>
      </c>
      <c r="CH22">
        <v>-4.0195841638881263E-2</v>
      </c>
      <c r="CK22">
        <v>-2.639957685553217E-2</v>
      </c>
      <c r="CL22">
        <v>-4.0152400619770288E-2</v>
      </c>
      <c r="CP22">
        <v>17</v>
      </c>
      <c r="CQ22">
        <f t="shared" si="36"/>
        <v>133267.2796198435</v>
      </c>
      <c r="CR22">
        <f t="shared" si="37"/>
        <v>229074.90181844251</v>
      </c>
      <c r="CS22">
        <f t="shared" si="38"/>
        <v>247585.31365319138</v>
      </c>
      <c r="CT22">
        <f t="shared" si="39"/>
        <v>121860.75846588725</v>
      </c>
      <c r="CU22">
        <f t="shared" si="21"/>
        <v>195224.27648237819</v>
      </c>
      <c r="CV22">
        <f t="shared" si="22"/>
        <v>207409.48059125181</v>
      </c>
      <c r="CW22">
        <f t="shared" si="43"/>
        <v>235904.68348380426</v>
      </c>
      <c r="CX22">
        <f t="shared" si="44"/>
        <v>400495.12148327741</v>
      </c>
      <c r="CY22">
        <f t="shared" si="45"/>
        <v>432792.65142653382</v>
      </c>
      <c r="DB22" t="b">
        <f t="shared" si="40"/>
        <v>0</v>
      </c>
      <c r="DC22" t="b">
        <f t="shared" si="41"/>
        <v>0</v>
      </c>
      <c r="DD22" t="b">
        <f t="shared" si="42"/>
        <v>0</v>
      </c>
    </row>
    <row r="23" spans="1:108" x14ac:dyDescent="0.25">
      <c r="A23" s="1">
        <v>44524</v>
      </c>
      <c r="B23">
        <v>251.88000500000001</v>
      </c>
      <c r="C23">
        <v>255.91999799999999</v>
      </c>
      <c r="D23">
        <v>242.86999499999999</v>
      </c>
      <c r="E23">
        <v>255.10000600000001</v>
      </c>
      <c r="F23">
        <v>255.10000600000001</v>
      </c>
      <c r="G23">
        <v>1541800</v>
      </c>
      <c r="H23">
        <f xml:space="preserve"> (ENPH[[#This Row],[Close]]-E22)/E22</f>
        <v>1.836329740518965E-2</v>
      </c>
      <c r="K23" s="1">
        <v>44524</v>
      </c>
      <c r="L23">
        <v>345.20001200000002</v>
      </c>
      <c r="M23">
        <v>349.868988</v>
      </c>
      <c r="N23">
        <v>333.36999500000002</v>
      </c>
      <c r="O23">
        <v>348.48998999999998</v>
      </c>
      <c r="P23">
        <v>348.48998999999998</v>
      </c>
      <c r="Q23">
        <v>417300</v>
      </c>
      <c r="R23">
        <f xml:space="preserve"> (SEDG4[[#This Row],[Close]]-O22)/O22</f>
        <v>-4.3711760701759007E-3</v>
      </c>
      <c r="V23">
        <f xml:space="preserve"> X23/(2*ENPH[[#This Row],[Close]])</f>
        <v>2042.2118605731114</v>
      </c>
      <c r="W23">
        <f xml:space="preserve"> X23/(2*SEDG4[[#This Row],[Close]])</f>
        <v>1494.9303361209084</v>
      </c>
      <c r="X23">
        <f t="shared" si="0"/>
        <v>1041936.5157709438</v>
      </c>
      <c r="Y23">
        <f t="shared" si="23"/>
        <v>7.5159949092909861E-3</v>
      </c>
      <c r="Z23">
        <f xml:space="preserve"> V23*ENPH[[#This Row],[Close]]</f>
        <v>520968.25788547192</v>
      </c>
      <c r="AA23">
        <f xml:space="preserve"> W23*SEDG4[[#This Row],[Close]]</f>
        <v>520968.25788547198</v>
      </c>
      <c r="AB23">
        <f t="shared" si="1"/>
        <v>1041936.5157709438</v>
      </c>
      <c r="AC23" t="b">
        <f t="shared" si="2"/>
        <v>1</v>
      </c>
      <c r="AE23">
        <v>19</v>
      </c>
      <c r="AF23">
        <f t="shared" si="3"/>
        <v>192981.39431082938</v>
      </c>
      <c r="AG23">
        <f t="shared" si="4"/>
        <v>254026.52924588765</v>
      </c>
      <c r="AH23">
        <f t="shared" si="5"/>
        <v>275687.7061583277</v>
      </c>
      <c r="AJ23">
        <v>19</v>
      </c>
      <c r="AK23">
        <f t="shared" si="6"/>
        <v>173211.37062469285</v>
      </c>
      <c r="AL23">
        <f t="shared" si="7"/>
        <v>228002.72255699366</v>
      </c>
      <c r="AM23">
        <f t="shared" si="8"/>
        <v>247444.81517813265</v>
      </c>
      <c r="AO23">
        <v>19</v>
      </c>
      <c r="AP23">
        <f t="shared" si="9"/>
        <v>352289.09299452323</v>
      </c>
      <c r="AQ23">
        <f t="shared" si="10"/>
        <v>463727.47955401533</v>
      </c>
      <c r="AR23">
        <f t="shared" si="11"/>
        <v>503270.13284931891</v>
      </c>
      <c r="AT23">
        <f t="shared" si="12"/>
        <v>366192.76493552222</v>
      </c>
      <c r="AU23" t="b">
        <f t="shared" si="13"/>
        <v>0</v>
      </c>
      <c r="AV23">
        <f t="shared" si="14"/>
        <v>482029.25180288131</v>
      </c>
      <c r="AW23" t="b">
        <f t="shared" si="15"/>
        <v>0</v>
      </c>
      <c r="AX23">
        <f t="shared" si="16"/>
        <v>523132.52133646037</v>
      </c>
      <c r="AY23" t="b">
        <f t="shared" si="17"/>
        <v>0</v>
      </c>
      <c r="BA23">
        <v>19</v>
      </c>
      <c r="BB23">
        <f t="shared" si="18"/>
        <v>-9.2913842729015397E-3</v>
      </c>
      <c r="BC23">
        <f t="shared" si="19"/>
        <v>-6.2434880984731543E-3</v>
      </c>
      <c r="BD23">
        <f t="shared" si="20"/>
        <v>-7.8542990248291339E-3</v>
      </c>
      <c r="BG23">
        <v>18</v>
      </c>
      <c r="BH23">
        <f t="shared" si="24"/>
        <v>30833.951971579649</v>
      </c>
      <c r="BI23">
        <f t="shared" si="25"/>
        <v>40587.549023814026</v>
      </c>
      <c r="BJ23">
        <f t="shared" si="26"/>
        <v>44048.50281654235</v>
      </c>
      <c r="BL23">
        <v>18</v>
      </c>
      <c r="BM23">
        <f t="shared" si="27"/>
        <v>21605.469932132244</v>
      </c>
      <c r="BN23">
        <f t="shared" si="28"/>
        <v>28439.853278010811</v>
      </c>
      <c r="BO23">
        <f t="shared" si="29"/>
        <v>30864.957045903204</v>
      </c>
      <c r="BQ23">
        <v>18</v>
      </c>
      <c r="BR23">
        <f t="shared" si="30"/>
        <v>48800.493336038926</v>
      </c>
      <c r="BS23">
        <f t="shared" si="31"/>
        <v>64237.384085194106</v>
      </c>
      <c r="BT23">
        <f t="shared" si="32"/>
        <v>69714.990480055611</v>
      </c>
      <c r="BV23" t="b">
        <f t="shared" si="33"/>
        <v>0</v>
      </c>
      <c r="BW23" t="b">
        <f t="shared" si="34"/>
        <v>0</v>
      </c>
      <c r="BX23" t="b">
        <f t="shared" si="35"/>
        <v>0</v>
      </c>
      <c r="CB23">
        <v>1.836329740518965E-2</v>
      </c>
      <c r="CC23">
        <v>18</v>
      </c>
      <c r="CD23">
        <v>-4.4783495242346628E-2</v>
      </c>
      <c r="CE23" s="13" t="s">
        <v>114</v>
      </c>
      <c r="CF23" s="14">
        <f xml:space="preserve"> 500000*ABS(CF22)</f>
        <v>60048.258796693313</v>
      </c>
      <c r="CG23">
        <v>-4.3711760701759007E-3</v>
      </c>
      <c r="CH23">
        <v>-3.8778440359457024E-2</v>
      </c>
      <c r="CK23">
        <v>7.5159949092909861E-3</v>
      </c>
      <c r="CL23">
        <v>-3.8073209253625818E-2</v>
      </c>
      <c r="CP23">
        <v>18</v>
      </c>
      <c r="CQ23">
        <f t="shared" si="36"/>
        <v>137130.89940356556</v>
      </c>
      <c r="CR23">
        <f t="shared" si="37"/>
        <v>235716.12932113206</v>
      </c>
      <c r="CS23">
        <f t="shared" si="38"/>
        <v>254763.18596151954</v>
      </c>
      <c r="CT23">
        <f t="shared" si="39"/>
        <v>125393.68596775601</v>
      </c>
      <c r="CU23">
        <f t="shared" si="21"/>
        <v>200884.12321318692</v>
      </c>
      <c r="CV23">
        <f t="shared" si="22"/>
        <v>213422.59479925397</v>
      </c>
      <c r="CW23">
        <f t="shared" si="43"/>
        <v>242743.91667578279</v>
      </c>
      <c r="CX23">
        <f t="shared" si="44"/>
        <v>412106.0801451556</v>
      </c>
      <c r="CY23">
        <f t="shared" si="45"/>
        <v>445339.96427835332</v>
      </c>
      <c r="DB23" t="b">
        <f t="shared" si="40"/>
        <v>0</v>
      </c>
      <c r="DC23" t="b">
        <f t="shared" si="41"/>
        <v>0</v>
      </c>
      <c r="DD23" t="b">
        <f t="shared" si="42"/>
        <v>0</v>
      </c>
    </row>
    <row r="24" spans="1:108" x14ac:dyDescent="0.25">
      <c r="A24" s="1">
        <v>44526</v>
      </c>
      <c r="B24">
        <v>250.38999899999999</v>
      </c>
      <c r="C24">
        <v>259</v>
      </c>
      <c r="D24">
        <v>243.61999499999999</v>
      </c>
      <c r="E24">
        <v>247.41999799999999</v>
      </c>
      <c r="F24">
        <v>247.41999799999999</v>
      </c>
      <c r="G24">
        <v>1476200</v>
      </c>
      <c r="H24">
        <f xml:space="preserve"> (ENPH[[#This Row],[Close]]-E23)/E23</f>
        <v>-3.0105871498881952E-2</v>
      </c>
      <c r="K24" s="1">
        <v>44526</v>
      </c>
      <c r="L24">
        <v>336.30999800000001</v>
      </c>
      <c r="M24">
        <v>351</v>
      </c>
      <c r="N24">
        <v>335.57000699999998</v>
      </c>
      <c r="O24">
        <v>341.44000199999999</v>
      </c>
      <c r="P24">
        <v>341.44000199999999</v>
      </c>
      <c r="Q24">
        <v>349300</v>
      </c>
      <c r="R24">
        <f xml:space="preserve"> (SEDG4[[#This Row],[Close]]-O23)/O23</f>
        <v>-2.0230101874662124E-2</v>
      </c>
      <c r="V24">
        <f xml:space="preserve"> X24/(2*ENPH[[#This Row],[Close]])</f>
        <v>2052.0164582347224</v>
      </c>
      <c r="W24">
        <f xml:space="preserve"> X24/(2*SEDG4[[#This Row],[Close]])</f>
        <v>1486.9666852696485</v>
      </c>
      <c r="X24">
        <f t="shared" si="0"/>
        <v>1015419.8159848043</v>
      </c>
      <c r="Y24">
        <f t="shared" si="23"/>
        <v>-2.544943898671163E-2</v>
      </c>
      <c r="Z24">
        <f xml:space="preserve"> V24*ENPH[[#This Row],[Close]]</f>
        <v>507709.90799240209</v>
      </c>
      <c r="AA24">
        <f xml:space="preserve"> W24*SEDG4[[#This Row],[Close]]</f>
        <v>507709.90799240215</v>
      </c>
      <c r="AB24">
        <f t="shared" si="1"/>
        <v>1015419.8159848042</v>
      </c>
      <c r="AC24" t="b">
        <f t="shared" si="2"/>
        <v>1</v>
      </c>
      <c r="AE24">
        <v>20</v>
      </c>
      <c r="AF24">
        <f t="shared" si="3"/>
        <v>197994.73291812005</v>
      </c>
      <c r="AG24">
        <f t="shared" si="4"/>
        <v>260625.71986160701</v>
      </c>
      <c r="AH24">
        <f t="shared" si="5"/>
        <v>282849.6184544572</v>
      </c>
      <c r="AJ24">
        <v>20</v>
      </c>
      <c r="AK24">
        <f t="shared" si="6"/>
        <v>177711.11659593321</v>
      </c>
      <c r="AL24">
        <f t="shared" si="7"/>
        <v>233925.85755995291</v>
      </c>
      <c r="AM24">
        <f t="shared" si="8"/>
        <v>253873.02370847602</v>
      </c>
      <c r="AO24">
        <v>20</v>
      </c>
      <c r="AP24">
        <f t="shared" si="9"/>
        <v>361440.98308809462</v>
      </c>
      <c r="AQ24">
        <f t="shared" si="10"/>
        <v>475774.35528943071</v>
      </c>
      <c r="AR24">
        <f t="shared" si="11"/>
        <v>516344.26155442087</v>
      </c>
      <c r="AT24">
        <f t="shared" si="12"/>
        <v>375705.84951405326</v>
      </c>
      <c r="AU24" t="b">
        <f t="shared" si="13"/>
        <v>0</v>
      </c>
      <c r="AV24">
        <f t="shared" si="14"/>
        <v>494551.57742155995</v>
      </c>
      <c r="AW24" t="b">
        <f t="shared" si="15"/>
        <v>0</v>
      </c>
      <c r="AX24">
        <f t="shared" si="16"/>
        <v>536722.64216293325</v>
      </c>
      <c r="AY24" t="b">
        <f t="shared" si="17"/>
        <v>0</v>
      </c>
      <c r="BA24">
        <v>20</v>
      </c>
      <c r="BB24">
        <f t="shared" si="18"/>
        <v>1.0892753096568994E-2</v>
      </c>
      <c r="BC24">
        <f t="shared" si="19"/>
        <v>4.9025006160815466E-3</v>
      </c>
      <c r="BD24">
        <f t="shared" si="20"/>
        <v>8.0532182242193089E-3</v>
      </c>
      <c r="BG24">
        <v>19</v>
      </c>
      <c r="BH24">
        <f t="shared" si="24"/>
        <v>31678.874216746415</v>
      </c>
      <c r="BI24">
        <f t="shared" si="25"/>
        <v>41699.74259143151</v>
      </c>
      <c r="BJ24">
        <f t="shared" si="26"/>
        <v>45255.534595352023</v>
      </c>
      <c r="BL24">
        <v>19</v>
      </c>
      <c r="BM24">
        <f t="shared" si="27"/>
        <v>22197.510231726868</v>
      </c>
      <c r="BN24">
        <f t="shared" si="28"/>
        <v>29219.171631558838</v>
      </c>
      <c r="BO24">
        <f t="shared" si="29"/>
        <v>31710.728902466952</v>
      </c>
      <c r="BQ24">
        <v>19</v>
      </c>
      <c r="BR24">
        <f t="shared" si="30"/>
        <v>50137.740745412106</v>
      </c>
      <c r="BS24">
        <f t="shared" si="31"/>
        <v>65997.638328144516</v>
      </c>
      <c r="BT24">
        <f t="shared" si="32"/>
        <v>71625.343922017288</v>
      </c>
      <c r="BV24" t="b">
        <f t="shared" si="33"/>
        <v>0</v>
      </c>
      <c r="BW24" t="b">
        <f t="shared" si="34"/>
        <v>0</v>
      </c>
      <c r="BX24" t="b">
        <f t="shared" si="35"/>
        <v>0</v>
      </c>
      <c r="CB24">
        <v>-3.0105871498881952E-2</v>
      </c>
      <c r="CC24">
        <v>19</v>
      </c>
      <c r="CD24">
        <v>-4.2804352938650626E-2</v>
      </c>
      <c r="CG24">
        <v>-2.0230101874662124E-2</v>
      </c>
      <c r="CH24">
        <v>-3.6240765800206694E-2</v>
      </c>
      <c r="CK24">
        <v>-2.544943898671163E-2</v>
      </c>
      <c r="CL24">
        <v>-3.5947635571012305E-2</v>
      </c>
      <c r="CP24">
        <v>19</v>
      </c>
      <c r="CQ24">
        <f t="shared" si="36"/>
        <v>140888.60608717828</v>
      </c>
      <c r="CR24">
        <f t="shared" si="37"/>
        <v>242175.30138547215</v>
      </c>
      <c r="CS24">
        <f t="shared" si="38"/>
        <v>261744.29183036348</v>
      </c>
      <c r="CT24">
        <f t="shared" si="39"/>
        <v>128829.76561058829</v>
      </c>
      <c r="CU24">
        <f t="shared" si="21"/>
        <v>206388.81701825248</v>
      </c>
      <c r="CV24">
        <f t="shared" si="22"/>
        <v>219270.87198841589</v>
      </c>
      <c r="CW24">
        <f t="shared" si="43"/>
        <v>249395.66651528835</v>
      </c>
      <c r="CX24">
        <f t="shared" si="44"/>
        <v>423398.7485259088</v>
      </c>
      <c r="CY24">
        <f t="shared" si="45"/>
        <v>457543.31864653091</v>
      </c>
      <c r="DB24" t="b">
        <f t="shared" si="40"/>
        <v>0</v>
      </c>
      <c r="DC24" t="b">
        <f t="shared" si="41"/>
        <v>0</v>
      </c>
      <c r="DD24" t="b">
        <f t="shared" si="42"/>
        <v>0</v>
      </c>
    </row>
    <row r="25" spans="1:108" x14ac:dyDescent="0.25">
      <c r="A25" s="1">
        <v>44529</v>
      </c>
      <c r="B25">
        <v>253.63000500000001</v>
      </c>
      <c r="C25">
        <v>257.70001200000002</v>
      </c>
      <c r="D25">
        <v>250.050003</v>
      </c>
      <c r="E25">
        <v>256.709991</v>
      </c>
      <c r="F25">
        <v>256.709991</v>
      </c>
      <c r="G25">
        <v>1513400</v>
      </c>
      <c r="H25">
        <f xml:space="preserve"> (ENPH[[#This Row],[Close]]-E24)/E24</f>
        <v>3.7547462109348208E-2</v>
      </c>
      <c r="K25" s="1">
        <v>44529</v>
      </c>
      <c r="L25">
        <v>343.01001000000002</v>
      </c>
      <c r="M25">
        <v>348.415009</v>
      </c>
      <c r="N25">
        <v>336.76001000000002</v>
      </c>
      <c r="O25">
        <v>347.209991</v>
      </c>
      <c r="P25">
        <v>347.209991</v>
      </c>
      <c r="Q25">
        <v>337100</v>
      </c>
      <c r="R25">
        <f xml:space="preserve"> (SEDG4[[#This Row],[Close]]-O24)/O24</f>
        <v>1.6898983617039721E-2</v>
      </c>
      <c r="V25">
        <f xml:space="preserve"> X25/(2*ENPH[[#This Row],[Close]])</f>
        <v>2032.6583460698071</v>
      </c>
      <c r="W25">
        <f xml:space="preserve"> X25/(2*SEDG4[[#This Row],[Close]])</f>
        <v>1502.8476116796278</v>
      </c>
      <c r="X25">
        <f t="shared" si="0"/>
        <v>1043607.4114513102</v>
      </c>
      <c r="Y25">
        <f t="shared" si="23"/>
        <v>2.7759548339292679E-2</v>
      </c>
      <c r="Z25">
        <f xml:space="preserve"> V25*ENPH[[#This Row],[Close]]</f>
        <v>521803.70572565508</v>
      </c>
      <c r="AA25">
        <f xml:space="preserve"> W25*SEDG4[[#This Row],[Close]]</f>
        <v>521803.70572565508</v>
      </c>
      <c r="AB25">
        <f t="shared" si="1"/>
        <v>1043607.4114513102</v>
      </c>
      <c r="AC25" t="b">
        <f t="shared" si="2"/>
        <v>1</v>
      </c>
      <c r="AE25">
        <v>21</v>
      </c>
      <c r="AF25">
        <f t="shared" si="3"/>
        <v>202884.22801312961</v>
      </c>
      <c r="AG25">
        <f t="shared" si="4"/>
        <v>267061.89197646652</v>
      </c>
      <c r="AH25">
        <f t="shared" si="5"/>
        <v>289834.611447328</v>
      </c>
      <c r="AJ25">
        <v>21</v>
      </c>
      <c r="AK25">
        <f t="shared" si="6"/>
        <v>182099.70623222334</v>
      </c>
      <c r="AL25">
        <f t="shared" si="7"/>
        <v>239702.67453017153</v>
      </c>
      <c r="AM25">
        <f t="shared" si="8"/>
        <v>260142.43747460475</v>
      </c>
      <c r="AO25">
        <v>21</v>
      </c>
      <c r="AP25">
        <f t="shared" si="9"/>
        <v>370366.7958503741</v>
      </c>
      <c r="AQ25">
        <f t="shared" si="10"/>
        <v>487523.63943569653</v>
      </c>
      <c r="AR25">
        <f t="shared" si="11"/>
        <v>529095.42264339153</v>
      </c>
      <c r="AT25">
        <f t="shared" si="12"/>
        <v>384983.93424535298</v>
      </c>
      <c r="AU25" t="b">
        <f t="shared" si="13"/>
        <v>0</v>
      </c>
      <c r="AV25">
        <f t="shared" si="14"/>
        <v>506764.56650663808</v>
      </c>
      <c r="AW25" t="b">
        <f t="shared" si="15"/>
        <v>0</v>
      </c>
      <c r="AX25">
        <f t="shared" si="16"/>
        <v>549977.0489219327</v>
      </c>
      <c r="AY25" t="b">
        <f t="shared" si="17"/>
        <v>0</v>
      </c>
      <c r="BA25">
        <v>21</v>
      </c>
      <c r="BB25">
        <f t="shared" si="18"/>
        <v>-7.1279409262017474E-3</v>
      </c>
      <c r="BC25">
        <f t="shared" si="19"/>
        <v>-1.5276078922824088E-2</v>
      </c>
      <c r="BD25">
        <f t="shared" si="20"/>
        <v>-1.0949554295233763E-2</v>
      </c>
      <c r="BG25">
        <v>20</v>
      </c>
      <c r="BH25">
        <f t="shared" si="24"/>
        <v>32501.839164810364</v>
      </c>
      <c r="BI25">
        <f t="shared" si="25"/>
        <v>42783.03318633201</v>
      </c>
      <c r="BJ25">
        <f t="shared" si="26"/>
        <v>46431.198806871944</v>
      </c>
      <c r="BL25">
        <v>20</v>
      </c>
      <c r="BM25">
        <f t="shared" si="27"/>
        <v>22774.16496794048</v>
      </c>
      <c r="BN25">
        <f t="shared" si="28"/>
        <v>29978.237559840021</v>
      </c>
      <c r="BO25">
        <f t="shared" si="29"/>
        <v>32534.521382772113</v>
      </c>
      <c r="BQ25">
        <v>20</v>
      </c>
      <c r="BR25">
        <f t="shared" si="30"/>
        <v>51440.236627250597</v>
      </c>
      <c r="BS25">
        <f t="shared" si="31"/>
        <v>67712.148213421708</v>
      </c>
      <c r="BT25">
        <f t="shared" si="32"/>
        <v>73486.052324643708</v>
      </c>
      <c r="BV25" t="b">
        <f t="shared" si="33"/>
        <v>0</v>
      </c>
      <c r="BW25" t="b">
        <f t="shared" si="34"/>
        <v>0</v>
      </c>
      <c r="BX25" t="b">
        <f t="shared" si="35"/>
        <v>0</v>
      </c>
      <c r="CB25">
        <v>3.7547462109348208E-2</v>
      </c>
      <c r="CC25">
        <v>20</v>
      </c>
      <c r="CD25">
        <v>-4.2544916040050826E-2</v>
      </c>
      <c r="CG25">
        <v>1.6898983617039721E-2</v>
      </c>
      <c r="CH25">
        <v>-3.6227816518960412E-2</v>
      </c>
      <c r="CK25">
        <v>2.7759548339292679E-2</v>
      </c>
      <c r="CL25">
        <v>-3.5710692913156802E-2</v>
      </c>
      <c r="CP25">
        <v>20</v>
      </c>
      <c r="CQ25">
        <f t="shared" si="36"/>
        <v>144548.65990089759</v>
      </c>
      <c r="CR25">
        <f t="shared" si="37"/>
        <v>248466.61663119224</v>
      </c>
      <c r="CS25">
        <f t="shared" si="38"/>
        <v>268543.97719981195</v>
      </c>
      <c r="CT25">
        <f t="shared" si="39"/>
        <v>132176.55062066801</v>
      </c>
      <c r="CU25">
        <f t="shared" si="21"/>
        <v>211750.45837319107</v>
      </c>
      <c r="CV25">
        <f t="shared" si="22"/>
        <v>224967.1679029497</v>
      </c>
      <c r="CW25">
        <f t="shared" si="43"/>
        <v>255874.55494853418</v>
      </c>
      <c r="CX25">
        <f t="shared" si="44"/>
        <v>434397.95028752845</v>
      </c>
      <c r="CY25">
        <f t="shared" si="45"/>
        <v>469429.54007254029</v>
      </c>
      <c r="DB25" t="b">
        <f t="shared" si="40"/>
        <v>0</v>
      </c>
      <c r="DC25" t="b">
        <f t="shared" si="41"/>
        <v>0</v>
      </c>
      <c r="DD25" t="b">
        <f t="shared" si="42"/>
        <v>0</v>
      </c>
    </row>
    <row r="26" spans="1:108" x14ac:dyDescent="0.25">
      <c r="A26" s="1">
        <v>44530</v>
      </c>
      <c r="B26">
        <v>252.990005</v>
      </c>
      <c r="C26">
        <v>259.39999399999999</v>
      </c>
      <c r="D26">
        <v>243.88999899999999</v>
      </c>
      <c r="E26">
        <v>250</v>
      </c>
      <c r="F26">
        <v>250</v>
      </c>
      <c r="G26">
        <v>2793200</v>
      </c>
      <c r="H26">
        <f xml:space="preserve"> (ENPH[[#This Row],[Close]]-E25)/E25</f>
        <v>-2.6138410016149322E-2</v>
      </c>
      <c r="K26" s="1">
        <v>44530</v>
      </c>
      <c r="L26">
        <v>332.85998499999999</v>
      </c>
      <c r="M26">
        <v>342.79998799999998</v>
      </c>
      <c r="N26">
        <v>324.73001099999999</v>
      </c>
      <c r="O26">
        <v>327.76001000000002</v>
      </c>
      <c r="P26">
        <v>327.76001000000002</v>
      </c>
      <c r="Q26">
        <v>1074900</v>
      </c>
      <c r="R26">
        <f xml:space="preserve"> (SEDG4[[#This Row],[Close]]-O25)/O25</f>
        <v>-5.6017918562717796E-2</v>
      </c>
      <c r="V26">
        <f xml:space="preserve"> X26/(2*ENPH[[#This Row],[Close]])</f>
        <v>2003.4081371539114</v>
      </c>
      <c r="W26">
        <f xml:space="preserve"> X26/(2*SEDG4[[#This Row],[Close]])</f>
        <v>1528.1059891610262</v>
      </c>
      <c r="X26">
        <f t="shared" si="0"/>
        <v>1001704.0685769557</v>
      </c>
      <c r="Y26">
        <f t="shared" si="23"/>
        <v>-4.0152400619770288E-2</v>
      </c>
      <c r="Z26">
        <f xml:space="preserve"> V26*ENPH[[#This Row],[Close]]</f>
        <v>500852.03428847785</v>
      </c>
      <c r="AA26">
        <f xml:space="preserve"> W26*SEDG4[[#This Row],[Close]]</f>
        <v>500852.03428847785</v>
      </c>
      <c r="AB26">
        <f t="shared" si="1"/>
        <v>1001704.0685769557</v>
      </c>
      <c r="AC26" t="b">
        <f t="shared" si="2"/>
        <v>1</v>
      </c>
      <c r="AE26">
        <v>22</v>
      </c>
      <c r="AF26">
        <f t="shared" si="3"/>
        <v>207658.62777561028</v>
      </c>
      <c r="AG26">
        <f t="shared" si="4"/>
        <v>273346.56105156866</v>
      </c>
      <c r="AH26">
        <f t="shared" si="5"/>
        <v>296655.18253658613</v>
      </c>
      <c r="AJ26">
        <v>22</v>
      </c>
      <c r="AK26">
        <f t="shared" si="6"/>
        <v>186384.99150401223</v>
      </c>
      <c r="AL26">
        <f t="shared" si="7"/>
        <v>245343.50922466919</v>
      </c>
      <c r="AM26">
        <f t="shared" si="8"/>
        <v>266264.27357716032</v>
      </c>
      <c r="AO26">
        <v>22</v>
      </c>
      <c r="AP26">
        <f t="shared" si="9"/>
        <v>379082.5011541117</v>
      </c>
      <c r="AQ26">
        <f t="shared" si="10"/>
        <v>498996.35356000421</v>
      </c>
      <c r="AR26">
        <f t="shared" si="11"/>
        <v>541546.43022015959</v>
      </c>
      <c r="AT26">
        <f t="shared" si="12"/>
        <v>394043.61927962251</v>
      </c>
      <c r="AU26" t="b">
        <f t="shared" si="13"/>
        <v>0</v>
      </c>
      <c r="AV26">
        <f t="shared" si="14"/>
        <v>518690.07027623785</v>
      </c>
      <c r="AW26" t="b">
        <f t="shared" si="15"/>
        <v>0</v>
      </c>
      <c r="AX26">
        <f t="shared" si="16"/>
        <v>562919.45611374639</v>
      </c>
      <c r="AY26" t="b">
        <f t="shared" si="17"/>
        <v>0</v>
      </c>
      <c r="BA26">
        <v>22</v>
      </c>
      <c r="BB26">
        <f t="shared" si="18"/>
        <v>-1.3473117666975693E-2</v>
      </c>
      <c r="BC26">
        <f t="shared" si="19"/>
        <v>-9.9403829845185702E-3</v>
      </c>
      <c r="BD26">
        <f t="shared" si="20"/>
        <v>-1.1843593290418444E-2</v>
      </c>
      <c r="BG26">
        <v>21</v>
      </c>
      <c r="BH26">
        <f t="shared" si="24"/>
        <v>33304.474572494917</v>
      </c>
      <c r="BI26">
        <f t="shared" si="25"/>
        <v>43839.56346787596</v>
      </c>
      <c r="BJ26">
        <f t="shared" si="26"/>
        <v>47577.820817849875</v>
      </c>
      <c r="BL26">
        <v>21</v>
      </c>
      <c r="BM26">
        <f t="shared" si="27"/>
        <v>23336.574716232793</v>
      </c>
      <c r="BN26">
        <f t="shared" si="28"/>
        <v>30718.552432592147</v>
      </c>
      <c r="BO26">
        <f t="shared" si="29"/>
        <v>33337.963880332558</v>
      </c>
      <c r="BQ26">
        <v>21</v>
      </c>
      <c r="BR26">
        <f t="shared" si="30"/>
        <v>52710.557210874846</v>
      </c>
      <c r="BS26">
        <f t="shared" si="31"/>
        <v>69384.304900029136</v>
      </c>
      <c r="BT26">
        <f t="shared" si="32"/>
        <v>75300.796015535481</v>
      </c>
      <c r="BV26" t="b">
        <f t="shared" si="33"/>
        <v>0</v>
      </c>
      <c r="BW26" t="b">
        <f t="shared" si="34"/>
        <v>0</v>
      </c>
      <c r="BX26" t="b">
        <f t="shared" si="35"/>
        <v>0</v>
      </c>
      <c r="CB26">
        <v>-2.6138410016149322E-2</v>
      </c>
      <c r="CC26">
        <v>21</v>
      </c>
      <c r="CD26">
        <v>-4.1982967787214644E-2</v>
      </c>
      <c r="CG26">
        <v>-5.6017918562717796E-2</v>
      </c>
      <c r="CH26">
        <v>-3.4439267141913518E-2</v>
      </c>
      <c r="CK26">
        <v>-4.0152400619770288E-2</v>
      </c>
      <c r="CL26">
        <v>-3.5516953387190547E-2</v>
      </c>
      <c r="CP26">
        <v>21</v>
      </c>
      <c r="CQ26">
        <f t="shared" si="36"/>
        <v>148118.30012899358</v>
      </c>
      <c r="CR26">
        <f t="shared" si="37"/>
        <v>254602.51876043848</v>
      </c>
      <c r="CS26">
        <f t="shared" si="38"/>
        <v>275175.69128614501</v>
      </c>
      <c r="CT26">
        <f t="shared" si="39"/>
        <v>135440.66066243517</v>
      </c>
      <c r="CU26">
        <f t="shared" si="21"/>
        <v>216979.65216194661</v>
      </c>
      <c r="CV26">
        <f t="shared" si="22"/>
        <v>230522.74934588917</v>
      </c>
      <c r="CW26">
        <f t="shared" si="43"/>
        <v>262193.39668194536</v>
      </c>
      <c r="CX26">
        <f t="shared" si="44"/>
        <v>445125.44094300689</v>
      </c>
      <c r="CY26">
        <f t="shared" si="45"/>
        <v>481022.13852103782</v>
      </c>
      <c r="DB26" t="b">
        <f t="shared" si="40"/>
        <v>0</v>
      </c>
      <c r="DC26" t="b">
        <f t="shared" si="41"/>
        <v>0</v>
      </c>
      <c r="DD26" t="b">
        <f t="shared" si="42"/>
        <v>0</v>
      </c>
    </row>
    <row r="27" spans="1:108" x14ac:dyDescent="0.25">
      <c r="A27" s="1">
        <v>44531</v>
      </c>
      <c r="B27">
        <v>253.38999899999999</v>
      </c>
      <c r="C27">
        <v>255.08999600000001</v>
      </c>
      <c r="D27">
        <v>234.61999499999999</v>
      </c>
      <c r="E27">
        <v>236.86000100000001</v>
      </c>
      <c r="F27">
        <v>236.86000100000001</v>
      </c>
      <c r="G27">
        <v>2056400</v>
      </c>
      <c r="H27">
        <f xml:space="preserve"> (ENPH[[#This Row],[Close]]-E26)/E26</f>
        <v>-5.2559995999999956E-2</v>
      </c>
      <c r="K27" s="1">
        <v>44531</v>
      </c>
      <c r="L27">
        <v>335.01001000000002</v>
      </c>
      <c r="M27">
        <v>336.74600199999998</v>
      </c>
      <c r="N27">
        <v>314.5</v>
      </c>
      <c r="O27">
        <v>315.04998799999998</v>
      </c>
      <c r="P27">
        <v>315.04998799999998</v>
      </c>
      <c r="Q27">
        <v>658000</v>
      </c>
      <c r="R27">
        <f xml:space="preserve"> (SEDG4[[#This Row],[Close]]-O26)/O26</f>
        <v>-3.8778440359457024E-2</v>
      </c>
      <c r="V27">
        <f xml:space="preserve"> X27/(2*ENPH[[#This Row],[Close]])</f>
        <v>2016.8501961667334</v>
      </c>
      <c r="W27">
        <f xml:space="preserve"> X27/(2*SEDG4[[#This Row],[Close]])</f>
        <v>1516.3026747390409</v>
      </c>
      <c r="X27">
        <f t="shared" si="0"/>
        <v>955422.27896180539</v>
      </c>
      <c r="Y27">
        <f t="shared" si="23"/>
        <v>-4.6203056438514127E-2</v>
      </c>
      <c r="Z27">
        <f xml:space="preserve"> V27*ENPH[[#This Row],[Close]]</f>
        <v>477711.1394809027</v>
      </c>
      <c r="AA27">
        <f xml:space="preserve"> W27*SEDG4[[#This Row],[Close]]</f>
        <v>477711.1394809027</v>
      </c>
      <c r="AB27">
        <f t="shared" si="1"/>
        <v>955422.27896180539</v>
      </c>
      <c r="AC27" t="b">
        <f t="shared" si="2"/>
        <v>1</v>
      </c>
      <c r="AE27">
        <v>23</v>
      </c>
      <c r="AF27">
        <f t="shared" si="3"/>
        <v>212325.6965202642</v>
      </c>
      <c r="AG27">
        <f t="shared" si="4"/>
        <v>279489.94746034779</v>
      </c>
      <c r="AH27">
        <f t="shared" si="5"/>
        <v>303322.4236003774</v>
      </c>
      <c r="AJ27">
        <v>23</v>
      </c>
      <c r="AK27">
        <f t="shared" si="6"/>
        <v>190573.94130898215</v>
      </c>
      <c r="AL27">
        <f t="shared" si="7"/>
        <v>250857.53498835405</v>
      </c>
      <c r="AM27">
        <f t="shared" si="8"/>
        <v>272248.48758426018</v>
      </c>
      <c r="AO27">
        <v>23</v>
      </c>
      <c r="AP27">
        <f t="shared" si="9"/>
        <v>387602.27281846723</v>
      </c>
      <c r="AQ27">
        <f t="shared" si="10"/>
        <v>510211.1550365538</v>
      </c>
      <c r="AR27">
        <f t="shared" si="11"/>
        <v>553717.53259781026</v>
      </c>
      <c r="AT27">
        <f t="shared" si="12"/>
        <v>402899.63782924635</v>
      </c>
      <c r="AU27" t="b">
        <f t="shared" si="13"/>
        <v>0</v>
      </c>
      <c r="AV27">
        <f t="shared" si="14"/>
        <v>530347.48244870186</v>
      </c>
      <c r="AW27" t="b">
        <f t="shared" si="15"/>
        <v>0</v>
      </c>
      <c r="AX27">
        <f t="shared" si="16"/>
        <v>575570.91118463757</v>
      </c>
      <c r="AY27" t="b">
        <f t="shared" si="17"/>
        <v>0</v>
      </c>
      <c r="BA27">
        <v>23</v>
      </c>
      <c r="BB27">
        <f t="shared" si="18"/>
        <v>-1.8921784139472415E-3</v>
      </c>
      <c r="BC27">
        <f t="shared" si="19"/>
        <v>2.6692497183385976E-3</v>
      </c>
      <c r="BD27">
        <f t="shared" si="20"/>
        <v>2.2822381997899575E-4</v>
      </c>
      <c r="BG27">
        <v>22</v>
      </c>
      <c r="BH27">
        <f t="shared" si="24"/>
        <v>34088.216497856272</v>
      </c>
      <c r="BI27">
        <f t="shared" si="25"/>
        <v>44871.223757382242</v>
      </c>
      <c r="BJ27">
        <f t="shared" si="26"/>
        <v>48697.452139794674</v>
      </c>
      <c r="BL27">
        <v>22</v>
      </c>
      <c r="BM27">
        <f t="shared" si="27"/>
        <v>23885.74572806267</v>
      </c>
      <c r="BN27">
        <f t="shared" si="28"/>
        <v>31441.440805306986</v>
      </c>
      <c r="BO27">
        <f t="shared" si="29"/>
        <v>34122.493897232387</v>
      </c>
      <c r="BQ27">
        <v>22</v>
      </c>
      <c r="BR27">
        <f t="shared" si="30"/>
        <v>53950.975326626736</v>
      </c>
      <c r="BS27">
        <f t="shared" si="31"/>
        <v>71017.1001748454</v>
      </c>
      <c r="BT27">
        <f t="shared" si="32"/>
        <v>77072.821895181056</v>
      </c>
      <c r="BV27" t="b">
        <f t="shared" si="33"/>
        <v>0</v>
      </c>
      <c r="BW27" t="b">
        <f t="shared" si="34"/>
        <v>0</v>
      </c>
      <c r="BX27" t="b">
        <f t="shared" si="35"/>
        <v>0</v>
      </c>
      <c r="CB27">
        <v>-5.2559995999999956E-2</v>
      </c>
      <c r="CC27">
        <v>22</v>
      </c>
      <c r="CD27">
        <v>-4.104425760806589E-2</v>
      </c>
      <c r="CG27">
        <v>-3.8778440359457024E-2</v>
      </c>
      <c r="CH27">
        <v>-3.3103223943215861E-2</v>
      </c>
      <c r="CK27">
        <v>-4.6203056438514127E-2</v>
      </c>
      <c r="CL27">
        <v>-3.489683000430379E-2</v>
      </c>
      <c r="CP27">
        <v>22</v>
      </c>
      <c r="CQ27">
        <f t="shared" si="36"/>
        <v>151603.91349519938</v>
      </c>
      <c r="CR27">
        <f t="shared" si="37"/>
        <v>260593.98599769533</v>
      </c>
      <c r="CS27">
        <f t="shared" si="38"/>
        <v>281651.29940996622</v>
      </c>
      <c r="CT27">
        <f t="shared" si="39"/>
        <v>138627.93581156657</v>
      </c>
      <c r="CU27">
        <f t="shared" si="21"/>
        <v>222085.75434588816</v>
      </c>
      <c r="CV27">
        <f t="shared" si="22"/>
        <v>235947.55624439375</v>
      </c>
      <c r="CW27">
        <f t="shared" si="43"/>
        <v>268363.49725162226</v>
      </c>
      <c r="CX27">
        <f t="shared" si="44"/>
        <v>455600.4138885375</v>
      </c>
      <c r="CY27">
        <f t="shared" si="45"/>
        <v>492341.855220525</v>
      </c>
      <c r="DB27" t="b">
        <f t="shared" si="40"/>
        <v>0</v>
      </c>
      <c r="DC27" t="b">
        <f t="shared" si="41"/>
        <v>0</v>
      </c>
      <c r="DD27" t="b">
        <f t="shared" si="42"/>
        <v>0</v>
      </c>
    </row>
    <row r="28" spans="1:108" x14ac:dyDescent="0.25">
      <c r="A28" s="1">
        <v>44532</v>
      </c>
      <c r="B28">
        <v>237</v>
      </c>
      <c r="C28">
        <v>244.96000699999999</v>
      </c>
      <c r="D28">
        <v>230.179993</v>
      </c>
      <c r="E28">
        <v>235</v>
      </c>
      <c r="F28">
        <v>235</v>
      </c>
      <c r="G28">
        <v>1949100</v>
      </c>
      <c r="H28">
        <f xml:space="preserve"> (ENPH[[#This Row],[Close]]-E27)/E27</f>
        <v>-7.8527442039486063E-3</v>
      </c>
      <c r="K28" s="1">
        <v>44532</v>
      </c>
      <c r="L28">
        <v>311.01001000000002</v>
      </c>
      <c r="M28">
        <v>322.32000699999998</v>
      </c>
      <c r="N28">
        <v>309.73998999999998</v>
      </c>
      <c r="O28">
        <v>318.540009</v>
      </c>
      <c r="P28">
        <v>318.540009</v>
      </c>
      <c r="Q28">
        <v>402100</v>
      </c>
      <c r="R28">
        <f xml:space="preserve"> (SEDG4[[#This Row],[Close]]-O27)/O27</f>
        <v>1.1077673807116644E-2</v>
      </c>
      <c r="V28">
        <f xml:space="preserve"> X28/(2*ENPH[[#This Row],[Close]])</f>
        <v>2034.7387456441397</v>
      </c>
      <c r="W28">
        <f xml:space="preserve"> X28/(2*SEDG4[[#This Row],[Close]])</f>
        <v>1501.1100386651049</v>
      </c>
      <c r="X28">
        <f t="shared" si="0"/>
        <v>956327.21045274567</v>
      </c>
      <c r="Y28">
        <f t="shared" si="23"/>
        <v>9.4715343243157802E-4</v>
      </c>
      <c r="Z28">
        <f xml:space="preserve"> V28*ENPH[[#This Row],[Close]]</f>
        <v>478163.60522637283</v>
      </c>
      <c r="AA28">
        <f xml:space="preserve"> W28*SEDG4[[#This Row],[Close]]</f>
        <v>478163.60522637283</v>
      </c>
      <c r="AB28">
        <f t="shared" si="1"/>
        <v>956327.21045274567</v>
      </c>
      <c r="AC28" t="b">
        <f t="shared" si="2"/>
        <v>1</v>
      </c>
      <c r="AE28">
        <v>24</v>
      </c>
      <c r="AF28">
        <f t="shared" si="3"/>
        <v>216892.36297293002</v>
      </c>
      <c r="AG28">
        <f t="shared" si="4"/>
        <v>285501.17166844872</v>
      </c>
      <c r="AH28">
        <f t="shared" si="5"/>
        <v>309846.23281847144</v>
      </c>
      <c r="AJ28">
        <v>24</v>
      </c>
      <c r="AK28">
        <f t="shared" si="6"/>
        <v>194672.7745580466</v>
      </c>
      <c r="AL28">
        <f t="shared" si="7"/>
        <v>256252.93793865319</v>
      </c>
      <c r="AM28">
        <f t="shared" si="8"/>
        <v>278103.96365435229</v>
      </c>
      <c r="AO28">
        <v>24</v>
      </c>
      <c r="AP28">
        <f t="shared" si="9"/>
        <v>395938.75928838522</v>
      </c>
      <c r="AQ28">
        <f t="shared" si="10"/>
        <v>521184.69334899692</v>
      </c>
      <c r="AR28">
        <f t="shared" si="11"/>
        <v>565626.79898340744</v>
      </c>
      <c r="AT28">
        <f t="shared" si="12"/>
        <v>411565.13753097662</v>
      </c>
      <c r="AU28" t="b">
        <f t="shared" si="13"/>
        <v>0</v>
      </c>
      <c r="AV28">
        <f t="shared" si="14"/>
        <v>541754.10960710188</v>
      </c>
      <c r="AW28" t="b">
        <f t="shared" si="15"/>
        <v>0</v>
      </c>
      <c r="AX28">
        <f t="shared" si="16"/>
        <v>587950.19647282374</v>
      </c>
      <c r="AY28" t="b">
        <f t="shared" si="17"/>
        <v>0</v>
      </c>
      <c r="BA28">
        <v>24</v>
      </c>
      <c r="BB28">
        <f t="shared" si="18"/>
        <v>-1.7252558533387214E-2</v>
      </c>
      <c r="BC28">
        <f t="shared" si="19"/>
        <v>-8.2056057327221221E-3</v>
      </c>
      <c r="BD28">
        <f t="shared" si="20"/>
        <v>-1.3004474367564486E-2</v>
      </c>
      <c r="BG28">
        <v>23</v>
      </c>
      <c r="BH28">
        <f t="shared" si="24"/>
        <v>34854.339492514853</v>
      </c>
      <c r="BI28">
        <f t="shared" si="25"/>
        <v>45879.691780963425</v>
      </c>
      <c r="BJ28">
        <f t="shared" si="26"/>
        <v>49791.913560735498</v>
      </c>
      <c r="BL28">
        <v>23</v>
      </c>
      <c r="BM28">
        <f t="shared" si="27"/>
        <v>24422.571086701995</v>
      </c>
      <c r="BN28">
        <f t="shared" si="28"/>
        <v>32148.078267189365</v>
      </c>
      <c r="BO28">
        <f t="shared" si="29"/>
        <v>34889.387266717138</v>
      </c>
      <c r="BQ28">
        <v>23</v>
      </c>
      <c r="BR28">
        <f t="shared" si="30"/>
        <v>55163.508190720277</v>
      </c>
      <c r="BS28">
        <f t="shared" si="31"/>
        <v>72613.189353090973</v>
      </c>
      <c r="BT28">
        <f t="shared" si="32"/>
        <v>78805.011701028954</v>
      </c>
      <c r="BV28" t="b">
        <f t="shared" si="33"/>
        <v>0</v>
      </c>
      <c r="BW28" t="b">
        <f t="shared" si="34"/>
        <v>0</v>
      </c>
      <c r="BX28" t="b">
        <f t="shared" si="35"/>
        <v>0</v>
      </c>
      <c r="CB28">
        <v>-7.8527442039486063E-3</v>
      </c>
      <c r="CC28">
        <v>23</v>
      </c>
      <c r="CD28">
        <v>-4.0670937512847366E-2</v>
      </c>
      <c r="CG28">
        <v>1.1077673807116644E-2</v>
      </c>
      <c r="CH28">
        <v>-3.1648656394453037E-2</v>
      </c>
      <c r="CK28">
        <v>9.4715343243157802E-4</v>
      </c>
      <c r="CL28">
        <v>-3.3277002443824928E-2</v>
      </c>
      <c r="CP28">
        <v>23</v>
      </c>
      <c r="CQ28">
        <f t="shared" si="36"/>
        <v>155011.16843962294</v>
      </c>
      <c r="CR28">
        <f t="shared" si="37"/>
        <v>266450.76190015784</v>
      </c>
      <c r="CS28">
        <f t="shared" si="38"/>
        <v>287981.3324572221</v>
      </c>
      <c r="CT28">
        <f t="shared" si="39"/>
        <v>141743.55933895096</v>
      </c>
      <c r="CU28">
        <f t="shared" si="21"/>
        <v>227077.06866710473</v>
      </c>
      <c r="CV28">
        <f t="shared" si="22"/>
        <v>241250.41063056252</v>
      </c>
      <c r="CW28">
        <f t="shared" si="43"/>
        <v>274394.89071523724</v>
      </c>
      <c r="CX28">
        <f t="shared" si="44"/>
        <v>465839.90393278556</v>
      </c>
      <c r="CY28">
        <f t="shared" si="45"/>
        <v>503407.09873483522</v>
      </c>
      <c r="DB28" t="b">
        <f t="shared" si="40"/>
        <v>0</v>
      </c>
      <c r="DC28" t="b">
        <f t="shared" si="41"/>
        <v>0</v>
      </c>
      <c r="DD28" t="b">
        <f t="shared" si="42"/>
        <v>0</v>
      </c>
    </row>
    <row r="29" spans="1:108" x14ac:dyDescent="0.25">
      <c r="A29" s="1">
        <v>44533</v>
      </c>
      <c r="B29">
        <v>242.259995</v>
      </c>
      <c r="C29">
        <v>243.38999899999999</v>
      </c>
      <c r="D29">
        <v>215.78999300000001</v>
      </c>
      <c r="E29">
        <v>217.10000600000001</v>
      </c>
      <c r="F29">
        <v>217.10000600000001</v>
      </c>
      <c r="G29">
        <v>3208700</v>
      </c>
      <c r="H29">
        <f xml:space="preserve"> (ENPH[[#This Row],[Close]]-E28)/E28</f>
        <v>-7.6170187234042522E-2</v>
      </c>
      <c r="K29" s="1">
        <v>44533</v>
      </c>
      <c r="L29">
        <v>321.57998700000002</v>
      </c>
      <c r="M29">
        <v>323.10000600000001</v>
      </c>
      <c r="N29">
        <v>299.29998799999998</v>
      </c>
      <c r="O29">
        <v>307</v>
      </c>
      <c r="P29">
        <v>307</v>
      </c>
      <c r="Q29">
        <v>674100</v>
      </c>
      <c r="R29">
        <f xml:space="preserve"> (SEDG4[[#This Row],[Close]]-O28)/O28</f>
        <v>-3.6227816518960412E-2</v>
      </c>
      <c r="V29">
        <f xml:space="preserve"> X29/(2*ENPH[[#This Row],[Close]])</f>
        <v>2076.0474247520933</v>
      </c>
      <c r="W29">
        <f xml:space="preserve"> X29/(2*SEDG4[[#This Row],[Close]])</f>
        <v>1468.1104507164951</v>
      </c>
      <c r="X29">
        <f t="shared" si="0"/>
        <v>901419.81673992798</v>
      </c>
      <c r="Y29">
        <f t="shared" si="23"/>
        <v>-5.7414860847495246E-2</v>
      </c>
      <c r="Z29">
        <f xml:space="preserve"> V29*ENPH[[#This Row],[Close]]</f>
        <v>450709.90836996405</v>
      </c>
      <c r="AA29">
        <f xml:space="preserve"> W29*SEDG4[[#This Row],[Close]]</f>
        <v>450709.90836996399</v>
      </c>
      <c r="AB29">
        <f t="shared" si="1"/>
        <v>901419.81673992798</v>
      </c>
      <c r="AC29" t="b">
        <f t="shared" si="2"/>
        <v>1</v>
      </c>
      <c r="AE29">
        <v>25</v>
      </c>
      <c r="AF29">
        <f t="shared" si="3"/>
        <v>221364.84099591587</v>
      </c>
      <c r="AG29">
        <f t="shared" si="4"/>
        <v>291388.41314768518</v>
      </c>
      <c r="AH29">
        <f t="shared" si="5"/>
        <v>316235.48713702266</v>
      </c>
      <c r="AJ29">
        <v>25</v>
      </c>
      <c r="AK29">
        <f t="shared" si="6"/>
        <v>198687.06853294885</v>
      </c>
      <c r="AL29">
        <f t="shared" si="7"/>
        <v>261537.05959949389</v>
      </c>
      <c r="AM29">
        <f t="shared" si="8"/>
        <v>283838.66933278402</v>
      </c>
      <c r="AO29">
        <v>25</v>
      </c>
      <c r="AP29">
        <f t="shared" si="9"/>
        <v>404103.30401966564</v>
      </c>
      <c r="AQ29">
        <f t="shared" si="10"/>
        <v>531931.90018915175</v>
      </c>
      <c r="AR29">
        <f t="shared" si="11"/>
        <v>577290.43431380799</v>
      </c>
      <c r="AT29">
        <f t="shared" si="12"/>
        <v>420051.90952886472</v>
      </c>
      <c r="AU29" t="b">
        <f t="shared" si="13"/>
        <v>0</v>
      </c>
      <c r="AV29">
        <f t="shared" si="14"/>
        <v>552925.4727471791</v>
      </c>
      <c r="AW29" t="b">
        <f t="shared" si="15"/>
        <v>0</v>
      </c>
      <c r="AX29">
        <f t="shared" si="16"/>
        <v>600074.15646980668</v>
      </c>
      <c r="AY29" t="b">
        <f t="shared" si="17"/>
        <v>0</v>
      </c>
      <c r="BA29">
        <v>25</v>
      </c>
      <c r="BB29">
        <f t="shared" si="18"/>
        <v>-4.079719015603364E-3</v>
      </c>
      <c r="BC29">
        <f t="shared" si="19"/>
        <v>4.3692003597136465E-4</v>
      </c>
      <c r="BD29">
        <f t="shared" si="20"/>
        <v>-1.9112162895370138E-3</v>
      </c>
      <c r="BG29">
        <v>24</v>
      </c>
      <c r="BH29">
        <f t="shared" si="24"/>
        <v>35603.980941943002</v>
      </c>
      <c r="BI29">
        <f t="shared" si="25"/>
        <v>46866.464709292319</v>
      </c>
      <c r="BJ29">
        <f t="shared" si="26"/>
        <v>50862.829917061426</v>
      </c>
      <c r="BL29">
        <v>24</v>
      </c>
      <c r="BM29">
        <f t="shared" si="27"/>
        <v>24947.847762569836</v>
      </c>
      <c r="BN29">
        <f t="shared" si="28"/>
        <v>32839.513891546012</v>
      </c>
      <c r="BO29">
        <f t="shared" si="29"/>
        <v>35639.782517956904</v>
      </c>
      <c r="BQ29">
        <v>24</v>
      </c>
      <c r="BR29">
        <f t="shared" si="30"/>
        <v>56349.955928297226</v>
      </c>
      <c r="BS29">
        <f t="shared" si="31"/>
        <v>74174.941987248385</v>
      </c>
      <c r="BT29">
        <f t="shared" si="32"/>
        <v>80499.9370404246</v>
      </c>
      <c r="BV29" t="b">
        <f t="shared" si="33"/>
        <v>0</v>
      </c>
      <c r="BW29" t="b">
        <f t="shared" si="34"/>
        <v>0</v>
      </c>
      <c r="BX29" t="b">
        <f t="shared" si="35"/>
        <v>0</v>
      </c>
      <c r="CB29">
        <v>-7.6170187234042522E-2</v>
      </c>
      <c r="CC29">
        <v>24</v>
      </c>
      <c r="CD29">
        <v>-3.9331809871097065E-2</v>
      </c>
      <c r="CG29">
        <v>-3.6227816518960412E-2</v>
      </c>
      <c r="CH29">
        <v>-3.144088637689469E-2</v>
      </c>
      <c r="CK29">
        <v>-5.7414860847495246E-2</v>
      </c>
      <c r="CL29">
        <v>-3.0079957271329352E-2</v>
      </c>
      <c r="CP29">
        <v>24</v>
      </c>
      <c r="CQ29">
        <f t="shared" si="36"/>
        <v>158345.12336972813</v>
      </c>
      <c r="CR29">
        <f t="shared" si="37"/>
        <v>272181.54143178446</v>
      </c>
      <c r="CS29">
        <f t="shared" si="38"/>
        <v>294175.18798898003</v>
      </c>
      <c r="CT29">
        <f t="shared" si="39"/>
        <v>144792.15669632665</v>
      </c>
      <c r="CU29">
        <f t="shared" si="21"/>
        <v>231961.00522611084</v>
      </c>
      <c r="CV29">
        <f t="shared" si="22"/>
        <v>246439.18511699542</v>
      </c>
      <c r="CW29">
        <f t="shared" si="43"/>
        <v>280296.53127381456</v>
      </c>
      <c r="CX29">
        <f t="shared" si="44"/>
        <v>475859.11261297413</v>
      </c>
      <c r="CY29">
        <f t="shared" si="45"/>
        <v>514234.29651401122</v>
      </c>
      <c r="DB29" t="b">
        <f t="shared" si="40"/>
        <v>0</v>
      </c>
      <c r="DC29" t="b">
        <f t="shared" si="41"/>
        <v>0</v>
      </c>
      <c r="DD29" t="b">
        <f t="shared" si="42"/>
        <v>0</v>
      </c>
    </row>
    <row r="30" spans="1:108" x14ac:dyDescent="0.25">
      <c r="A30" s="1">
        <v>44536</v>
      </c>
      <c r="B30">
        <v>216.5</v>
      </c>
      <c r="C30">
        <v>217.41999799999999</v>
      </c>
      <c r="D30">
        <v>207.050003</v>
      </c>
      <c r="E30">
        <v>212.94000199999999</v>
      </c>
      <c r="F30">
        <v>212.94000199999999</v>
      </c>
      <c r="G30">
        <v>2539600</v>
      </c>
      <c r="H30">
        <f xml:space="preserve"> (ENPH[[#This Row],[Close]]-E29)/E29</f>
        <v>-1.9161694541823343E-2</v>
      </c>
      <c r="K30" s="1">
        <v>44536</v>
      </c>
      <c r="L30">
        <v>306.19000199999999</v>
      </c>
      <c r="M30">
        <v>309.92001299999998</v>
      </c>
      <c r="N30">
        <v>289.20001200000002</v>
      </c>
      <c r="O30">
        <v>307.63000499999998</v>
      </c>
      <c r="P30">
        <v>307.63000499999998</v>
      </c>
      <c r="Q30">
        <v>1185300</v>
      </c>
      <c r="R30">
        <f xml:space="preserve"> (SEDG4[[#This Row],[Close]]-O29)/O29</f>
        <v>2.0521335504885435E-3</v>
      </c>
      <c r="V30">
        <f xml:space="preserve"> X30/(2*ENPH[[#This Row],[Close]])</f>
        <v>2097.6051773880549</v>
      </c>
      <c r="W30">
        <f xml:space="preserve"> X30/(2*SEDG4[[#This Row],[Close]])</f>
        <v>1451.9521613901829</v>
      </c>
      <c r="X30">
        <f t="shared" si="0"/>
        <v>893328.10133644554</v>
      </c>
      <c r="Y30">
        <f t="shared" si="23"/>
        <v>-8.9766335876072783E-3</v>
      </c>
      <c r="Z30">
        <f xml:space="preserve"> V30*ENPH[[#This Row],[Close]]</f>
        <v>446664.05066822277</v>
      </c>
      <c r="AA30">
        <f xml:space="preserve"> W30*SEDG4[[#This Row],[Close]]</f>
        <v>446664.05066822277</v>
      </c>
      <c r="AB30">
        <f t="shared" si="1"/>
        <v>893328.10133644554</v>
      </c>
      <c r="AC30" t="b">
        <f t="shared" si="2"/>
        <v>1</v>
      </c>
      <c r="AE30">
        <v>26</v>
      </c>
      <c r="AF30">
        <f t="shared" si="3"/>
        <v>225748.7287723078</v>
      </c>
      <c r="AG30">
        <f t="shared" si="4"/>
        <v>297159.0409349766</v>
      </c>
      <c r="AH30">
        <f t="shared" si="5"/>
        <v>322498.1839604397</v>
      </c>
      <c r="AJ30">
        <v>26</v>
      </c>
      <c r="AK30">
        <f t="shared" si="6"/>
        <v>202621.8479096106</v>
      </c>
      <c r="AL30">
        <f t="shared" si="7"/>
        <v>266716.51408509968</v>
      </c>
      <c r="AM30">
        <f t="shared" si="8"/>
        <v>289459.78272801515</v>
      </c>
      <c r="AO30">
        <v>26</v>
      </c>
      <c r="AP30">
        <f t="shared" si="9"/>
        <v>412106.12654071854</v>
      </c>
      <c r="AQ30">
        <f t="shared" si="10"/>
        <v>542466.22779339482</v>
      </c>
      <c r="AR30">
        <f t="shared" si="11"/>
        <v>588723.03791531222</v>
      </c>
      <c r="AT30">
        <f t="shared" si="12"/>
        <v>428370.57668191841</v>
      </c>
      <c r="AU30" t="b">
        <f t="shared" si="13"/>
        <v>0</v>
      </c>
      <c r="AV30">
        <f t="shared" si="14"/>
        <v>563875.55502007622</v>
      </c>
      <c r="AW30" t="b">
        <f t="shared" si="15"/>
        <v>0</v>
      </c>
      <c r="AX30">
        <f t="shared" si="16"/>
        <v>611957.96668845485</v>
      </c>
      <c r="AY30" t="b">
        <f t="shared" si="17"/>
        <v>0</v>
      </c>
      <c r="BA30">
        <v>26</v>
      </c>
      <c r="BB30">
        <f t="shared" si="18"/>
        <v>9.0415279931358485E-3</v>
      </c>
      <c r="BC30">
        <f t="shared" si="19"/>
        <v>1.184040232458171E-2</v>
      </c>
      <c r="BD30">
        <f t="shared" si="20"/>
        <v>1.04002618870686E-2</v>
      </c>
      <c r="BG30">
        <v>25</v>
      </c>
      <c r="BH30">
        <f t="shared" si="24"/>
        <v>36338.160883140481</v>
      </c>
      <c r="BI30">
        <f t="shared" si="25"/>
        <v>47832.885244133904</v>
      </c>
      <c r="BJ30">
        <f t="shared" si="26"/>
        <v>51911.658404486399</v>
      </c>
      <c r="BL30">
        <v>25</v>
      </c>
      <c r="BM30">
        <f t="shared" si="27"/>
        <v>25462.290499554612</v>
      </c>
      <c r="BN30">
        <f t="shared" si="28"/>
        <v>33516.688514719848</v>
      </c>
      <c r="BO30">
        <f t="shared" si="29"/>
        <v>36374.700713649443</v>
      </c>
      <c r="BQ30">
        <v>25</v>
      </c>
      <c r="BR30">
        <f t="shared" si="30"/>
        <v>57511.932938603422</v>
      </c>
      <c r="BS30">
        <f t="shared" si="31"/>
        <v>75704.483153875932</v>
      </c>
      <c r="BT30">
        <f t="shared" si="32"/>
        <v>82159.904198004879</v>
      </c>
      <c r="BV30" t="b">
        <f t="shared" si="33"/>
        <v>0</v>
      </c>
      <c r="BW30" t="b">
        <f t="shared" si="34"/>
        <v>0</v>
      </c>
      <c r="BX30" t="b">
        <f t="shared" si="35"/>
        <v>0</v>
      </c>
      <c r="CB30">
        <v>-1.9161694541823343E-2</v>
      </c>
      <c r="CC30">
        <v>25</v>
      </c>
      <c r="CD30">
        <v>-3.8786133700335887E-2</v>
      </c>
      <c r="CG30">
        <v>2.0521335504885435E-3</v>
      </c>
      <c r="CH30">
        <v>-3.1328016028586085E-2</v>
      </c>
      <c r="CK30">
        <v>-8.9766335876072783E-3</v>
      </c>
      <c r="CL30">
        <v>-2.9972460543288868E-2</v>
      </c>
      <c r="CP30">
        <v>25</v>
      </c>
      <c r="CQ30">
        <f t="shared" si="36"/>
        <v>161610.31479745251</v>
      </c>
      <c r="CR30">
        <f t="shared" si="37"/>
        <v>277794.12246336282</v>
      </c>
      <c r="CS30">
        <f t="shared" si="38"/>
        <v>300241.29398346657</v>
      </c>
      <c r="CT30">
        <f t="shared" si="39"/>
        <v>147777.87610962786</v>
      </c>
      <c r="CU30">
        <f t="shared" si="21"/>
        <v>236744.20959459737</v>
      </c>
      <c r="CV30">
        <f t="shared" si="22"/>
        <v>251520.94006830215</v>
      </c>
      <c r="CW30">
        <f t="shared" si="43"/>
        <v>286076.4492887138</v>
      </c>
      <c r="CX30">
        <f t="shared" si="44"/>
        <v>485671.67306474398</v>
      </c>
      <c r="CY30">
        <f t="shared" si="45"/>
        <v>524838.18112433085</v>
      </c>
      <c r="DB30" t="b">
        <f t="shared" si="40"/>
        <v>0</v>
      </c>
      <c r="DC30" t="b">
        <f t="shared" si="41"/>
        <v>0</v>
      </c>
      <c r="DD30" t="b">
        <f t="shared" si="42"/>
        <v>0</v>
      </c>
    </row>
    <row r="31" spans="1:108" x14ac:dyDescent="0.25">
      <c r="A31" s="1">
        <v>44537</v>
      </c>
      <c r="B31">
        <v>224.39999399999999</v>
      </c>
      <c r="C31">
        <v>230.050003</v>
      </c>
      <c r="D31">
        <v>220.5</v>
      </c>
      <c r="E31">
        <v>222.55999800000001</v>
      </c>
      <c r="F31">
        <v>222.55999800000001</v>
      </c>
      <c r="G31">
        <v>1970200</v>
      </c>
      <c r="H31">
        <f xml:space="preserve"> (ENPH[[#This Row],[Close]]-E30)/E30</f>
        <v>4.5177025968094128E-2</v>
      </c>
      <c r="K31" s="1">
        <v>44537</v>
      </c>
      <c r="L31">
        <v>319.51998900000001</v>
      </c>
      <c r="M31">
        <v>328.85998499999999</v>
      </c>
      <c r="N31">
        <v>318.89999399999999</v>
      </c>
      <c r="O31">
        <v>325.82998700000002</v>
      </c>
      <c r="P31">
        <v>325.82998700000002</v>
      </c>
      <c r="Q31">
        <v>750000</v>
      </c>
      <c r="R31">
        <f xml:space="preserve"> (SEDG4[[#This Row],[Close]]-O30)/O30</f>
        <v>5.9161920827586485E-2</v>
      </c>
      <c r="V31">
        <f xml:space="preserve"> X31/(2*ENPH[[#This Row],[Close]])</f>
        <v>2111.2304156950763</v>
      </c>
      <c r="W31">
        <f xml:space="preserve"> X31/(2*SEDG4[[#This Row],[Close]])</f>
        <v>1442.0877630720813</v>
      </c>
      <c r="X31">
        <f t="shared" si="0"/>
        <v>939750.87418927066</v>
      </c>
      <c r="Y31">
        <f t="shared" si="23"/>
        <v>5.1966094857393674E-2</v>
      </c>
      <c r="Z31">
        <f xml:space="preserve"> V31*ENPH[[#This Row],[Close]]</f>
        <v>469875.43709463539</v>
      </c>
      <c r="AA31">
        <f xml:space="preserve"> W31*SEDG4[[#This Row],[Close]]</f>
        <v>469875.43709463539</v>
      </c>
      <c r="AB31">
        <f t="shared" si="1"/>
        <v>939750.87418927078</v>
      </c>
      <c r="AC31" t="b">
        <f t="shared" si="2"/>
        <v>1</v>
      </c>
      <c r="AE31">
        <v>27</v>
      </c>
      <c r="AF31">
        <f t="shared" si="3"/>
        <v>230049.09096859931</v>
      </c>
      <c r="AG31">
        <f t="shared" si="4"/>
        <v>302819.72178519709</v>
      </c>
      <c r="AH31">
        <f t="shared" si="5"/>
        <v>328641.55852657044</v>
      </c>
      <c r="AJ31">
        <v>27</v>
      </c>
      <c r="AK31">
        <f t="shared" si="6"/>
        <v>206481.65850359216</v>
      </c>
      <c r="AL31">
        <f t="shared" si="7"/>
        <v>271797.28517309582</v>
      </c>
      <c r="AM31">
        <f t="shared" si="8"/>
        <v>294973.79786227451</v>
      </c>
      <c r="AO31">
        <v>27</v>
      </c>
      <c r="AP31">
        <f t="shared" si="9"/>
        <v>419956.47244110808</v>
      </c>
      <c r="AQ31">
        <f t="shared" si="10"/>
        <v>552799.84637656063</v>
      </c>
      <c r="AR31">
        <f t="shared" si="11"/>
        <v>599937.81777301151</v>
      </c>
      <c r="AT31">
        <f t="shared" si="12"/>
        <v>436530.74947219144</v>
      </c>
      <c r="AU31" t="b">
        <f t="shared" si="13"/>
        <v>0</v>
      </c>
      <c r="AV31">
        <f t="shared" si="14"/>
        <v>574617.00695829291</v>
      </c>
      <c r="AW31" t="b">
        <f t="shared" si="15"/>
        <v>0</v>
      </c>
      <c r="AX31">
        <f t="shared" si="16"/>
        <v>623615.35638884502</v>
      </c>
      <c r="AY31" t="b">
        <f t="shared" si="17"/>
        <v>0</v>
      </c>
      <c r="BA31">
        <v>27</v>
      </c>
      <c r="BB31">
        <f t="shared" si="18"/>
        <v>2.5781323298504572E-3</v>
      </c>
      <c r="BC31">
        <f t="shared" si="19"/>
        <v>2.7310090973114926E-3</v>
      </c>
      <c r="BD31">
        <f t="shared" si="20"/>
        <v>2.6528551263381951E-3</v>
      </c>
      <c r="BG31">
        <v>26</v>
      </c>
      <c r="BH31">
        <f t="shared" si="24"/>
        <v>37057.798286241465</v>
      </c>
      <c r="BI31">
        <f t="shared" si="25"/>
        <v>48780.163050256626</v>
      </c>
      <c r="BJ31">
        <f t="shared" si="26"/>
        <v>52939.711837487805</v>
      </c>
      <c r="BL31">
        <v>26</v>
      </c>
      <c r="BM31">
        <f t="shared" si="27"/>
        <v>25966.54322359943</v>
      </c>
      <c r="BN31">
        <f t="shared" si="28"/>
        <v>34180.449753513538</v>
      </c>
      <c r="BO31">
        <f t="shared" si="29"/>
        <v>37095.061747999185</v>
      </c>
      <c r="BQ31">
        <v>26</v>
      </c>
      <c r="BR31">
        <f t="shared" si="30"/>
        <v>58650.893663675692</v>
      </c>
      <c r="BS31">
        <f t="shared" si="31"/>
        <v>77203.727373613918</v>
      </c>
      <c r="BT31">
        <f t="shared" si="32"/>
        <v>83786.990948108127</v>
      </c>
      <c r="BV31" t="b">
        <f t="shared" si="33"/>
        <v>0</v>
      </c>
      <c r="BW31" t="b">
        <f t="shared" si="34"/>
        <v>0</v>
      </c>
      <c r="BX31" t="b">
        <f t="shared" si="35"/>
        <v>0</v>
      </c>
      <c r="CB31">
        <v>4.5177025968094128E-2</v>
      </c>
      <c r="CC31">
        <v>26</v>
      </c>
      <c r="CD31">
        <v>-3.7204028068074234E-2</v>
      </c>
      <c r="CG31">
        <v>5.9161920827586485E-2</v>
      </c>
      <c r="CH31">
        <v>-2.9794401639180877E-2</v>
      </c>
      <c r="CK31">
        <v>5.1966094857393674E-2</v>
      </c>
      <c r="CL31">
        <v>-2.9309622516147004E-2</v>
      </c>
      <c r="CP31">
        <v>26</v>
      </c>
      <c r="CQ31">
        <f t="shared" si="36"/>
        <v>164810.82975001659</v>
      </c>
      <c r="CR31">
        <f t="shared" si="37"/>
        <v>283295.53024041414</v>
      </c>
      <c r="CS31">
        <f t="shared" si="38"/>
        <v>306187.24336160877</v>
      </c>
      <c r="CT31">
        <f t="shared" si="39"/>
        <v>150704.45479205786</v>
      </c>
      <c r="CU31">
        <f t="shared" si="21"/>
        <v>241432.66889059043</v>
      </c>
      <c r="CV31">
        <f t="shared" si="22"/>
        <v>256502.03629709478</v>
      </c>
      <c r="CW31">
        <f t="shared" si="43"/>
        <v>291741.8794604977</v>
      </c>
      <c r="CX31">
        <f t="shared" si="44"/>
        <v>495289.86763127689</v>
      </c>
      <c r="CY31">
        <f t="shared" si="45"/>
        <v>535232.02540630137</v>
      </c>
      <c r="DB31" t="b">
        <f t="shared" si="40"/>
        <v>0</v>
      </c>
      <c r="DC31" t="b">
        <f t="shared" si="41"/>
        <v>0</v>
      </c>
      <c r="DD31" t="b">
        <f t="shared" si="42"/>
        <v>0</v>
      </c>
    </row>
    <row r="32" spans="1:108" x14ac:dyDescent="0.25">
      <c r="A32" s="1">
        <v>44538</v>
      </c>
      <c r="B32">
        <v>224.949997</v>
      </c>
      <c r="C32">
        <v>227.479996</v>
      </c>
      <c r="D32">
        <v>220.03999300000001</v>
      </c>
      <c r="E32">
        <v>225.61000100000001</v>
      </c>
      <c r="F32">
        <v>225.61000100000001</v>
      </c>
      <c r="G32">
        <v>1644600</v>
      </c>
      <c r="H32">
        <f xml:space="preserve"> (ENPH[[#This Row],[Close]]-E31)/E31</f>
        <v>1.3704183264775207E-2</v>
      </c>
      <c r="K32" s="1">
        <v>44538</v>
      </c>
      <c r="L32">
        <v>331.51001000000002</v>
      </c>
      <c r="M32">
        <v>344.78500400000001</v>
      </c>
      <c r="N32">
        <v>327.79998799999998</v>
      </c>
      <c r="O32">
        <v>330.55999800000001</v>
      </c>
      <c r="P32">
        <v>330.55999800000001</v>
      </c>
      <c r="Q32">
        <v>824700</v>
      </c>
      <c r="R32">
        <f xml:space="preserve"> (SEDG4[[#This Row],[Close]]-O31)/O31</f>
        <v>1.4516806889232053E-2</v>
      </c>
      <c r="V32">
        <f xml:space="preserve"> X32/(2*ENPH[[#This Row],[Close]])</f>
        <v>2112.0576441503249</v>
      </c>
      <c r="W32">
        <f xml:space="preserve"> X32/(2*SEDG4[[#This Row],[Close]])</f>
        <v>1441.4972473735691</v>
      </c>
      <c r="X32">
        <f t="shared" si="0"/>
        <v>953002.65441762493</v>
      </c>
      <c r="Y32">
        <f t="shared" si="23"/>
        <v>1.4101375792586166E-2</v>
      </c>
      <c r="Z32">
        <f xml:space="preserve"> V32*ENPH[[#This Row],[Close]]</f>
        <v>476501.32720881246</v>
      </c>
      <c r="AA32">
        <f xml:space="preserve"> W32*SEDG4[[#This Row],[Close]]</f>
        <v>476501.32720881252</v>
      </c>
      <c r="AB32">
        <f t="shared" si="1"/>
        <v>953002.65441762493</v>
      </c>
      <c r="AC32" t="b">
        <f t="shared" si="2"/>
        <v>1</v>
      </c>
      <c r="AE32">
        <v>28</v>
      </c>
      <c r="AF32">
        <f t="shared" si="3"/>
        <v>234270.52731541963</v>
      </c>
      <c r="AG32">
        <f t="shared" si="4"/>
        <v>308376.51044580748</v>
      </c>
      <c r="AH32">
        <f t="shared" si="5"/>
        <v>334672.18187917088</v>
      </c>
      <c r="AJ32">
        <v>28</v>
      </c>
      <c r="AK32">
        <f t="shared" si="6"/>
        <v>210270.62882505183</v>
      </c>
      <c r="AL32">
        <f t="shared" si="7"/>
        <v>276784.80733093561</v>
      </c>
      <c r="AM32">
        <f t="shared" si="8"/>
        <v>300386.61260721687</v>
      </c>
      <c r="AO32">
        <v>28</v>
      </c>
      <c r="AP32">
        <f t="shared" si="9"/>
        <v>427662.73856622528</v>
      </c>
      <c r="AQ32">
        <f t="shared" si="10"/>
        <v>562943.80892901088</v>
      </c>
      <c r="AR32">
        <f t="shared" si="11"/>
        <v>610946.76938032184</v>
      </c>
      <c r="AT32">
        <f t="shared" si="12"/>
        <v>444541.15614047146</v>
      </c>
      <c r="AU32" t="b">
        <f t="shared" si="13"/>
        <v>0</v>
      </c>
      <c r="AV32">
        <f t="shared" si="14"/>
        <v>585161.31777674309</v>
      </c>
      <c r="AW32" t="b">
        <f t="shared" si="15"/>
        <v>0</v>
      </c>
      <c r="AX32">
        <f t="shared" si="16"/>
        <v>635058.79448638775</v>
      </c>
      <c r="AY32" t="b">
        <f t="shared" si="17"/>
        <v>0</v>
      </c>
      <c r="BA32">
        <v>28</v>
      </c>
      <c r="BB32">
        <f t="shared" si="18"/>
        <v>-7.2582563967961474E-3</v>
      </c>
      <c r="BC32">
        <f t="shared" si="19"/>
        <v>-9.1907845629508565E-3</v>
      </c>
      <c r="BD32">
        <f t="shared" si="20"/>
        <v>-8.2032205464382356E-3</v>
      </c>
      <c r="BG32">
        <v>27</v>
      </c>
      <c r="BH32">
        <f t="shared" si="24"/>
        <v>37763.724541926749</v>
      </c>
      <c r="BI32">
        <f t="shared" si="25"/>
        <v>49709.392509270932</v>
      </c>
      <c r="BJ32">
        <f t="shared" si="26"/>
        <v>53948.177917038214</v>
      </c>
      <c r="BL32">
        <v>27</v>
      </c>
      <c r="BM32">
        <f t="shared" si="27"/>
        <v>26461.18849338415</v>
      </c>
      <c r="BN32">
        <f t="shared" si="28"/>
        <v>34831.56444537302</v>
      </c>
      <c r="BO32">
        <f t="shared" si="29"/>
        <v>37801.697847691641</v>
      </c>
      <c r="BQ32">
        <v>27</v>
      </c>
      <c r="BR32">
        <f t="shared" si="30"/>
        <v>59768.153934693102</v>
      </c>
      <c r="BS32">
        <f t="shared" si="31"/>
        <v>78674.406709953168</v>
      </c>
      <c r="BT32">
        <f t="shared" si="32"/>
        <v>85383.077049561572</v>
      </c>
      <c r="BV32" t="b">
        <f t="shared" si="33"/>
        <v>0</v>
      </c>
      <c r="BW32" t="b">
        <f t="shared" si="34"/>
        <v>0</v>
      </c>
      <c r="BX32" t="b">
        <f t="shared" si="35"/>
        <v>0</v>
      </c>
      <c r="CB32">
        <v>1.3704183264775207E-2</v>
      </c>
      <c r="CC32">
        <v>27</v>
      </c>
      <c r="CD32">
        <v>-3.6746114631864765E-2</v>
      </c>
      <c r="CG32">
        <v>1.4516806889232053E-2</v>
      </c>
      <c r="CH32">
        <v>-2.8460658010653301E-2</v>
      </c>
      <c r="CK32">
        <v>1.4101375792586166E-2</v>
      </c>
      <c r="CL32">
        <v>-2.7888916937531448E-2</v>
      </c>
      <c r="CP32">
        <v>27</v>
      </c>
      <c r="CQ32">
        <f t="shared" si="36"/>
        <v>167950.36575383286</v>
      </c>
      <c r="CR32">
        <f t="shared" si="37"/>
        <v>288692.12049033307</v>
      </c>
      <c r="CS32">
        <f t="shared" si="38"/>
        <v>312019.9054257528</v>
      </c>
      <c r="CT32">
        <f t="shared" si="39"/>
        <v>153575.27379389666</v>
      </c>
      <c r="CU32">
        <f t="shared" si="21"/>
        <v>246031.79964934677</v>
      </c>
      <c r="CV32">
        <f t="shared" si="22"/>
        <v>261388.22841947156</v>
      </c>
      <c r="CW32">
        <f t="shared" si="43"/>
        <v>297299.36701017222</v>
      </c>
      <c r="CX32">
        <f t="shared" si="44"/>
        <v>504724.80812707054</v>
      </c>
      <c r="CY32">
        <f t="shared" si="45"/>
        <v>545427.83727562672</v>
      </c>
      <c r="DB32" t="b">
        <f t="shared" si="40"/>
        <v>0</v>
      </c>
      <c r="DC32" t="b">
        <f t="shared" si="41"/>
        <v>0</v>
      </c>
      <c r="DD32" t="b">
        <f t="shared" si="42"/>
        <v>0</v>
      </c>
    </row>
    <row r="33" spans="1:108" x14ac:dyDescent="0.25">
      <c r="A33" s="1">
        <v>44539</v>
      </c>
      <c r="B33">
        <v>225.61000100000001</v>
      </c>
      <c r="C33">
        <v>229.009995</v>
      </c>
      <c r="D33">
        <v>215.800003</v>
      </c>
      <c r="E33">
        <v>216.35000600000001</v>
      </c>
      <c r="F33">
        <v>216.35000600000001</v>
      </c>
      <c r="G33">
        <v>1512200</v>
      </c>
      <c r="H33">
        <f xml:space="preserve"> (ENPH[[#This Row],[Close]]-E32)/E32</f>
        <v>-4.104425760806589E-2</v>
      </c>
      <c r="K33" s="1">
        <v>44539</v>
      </c>
      <c r="L33">
        <v>329.5</v>
      </c>
      <c r="M33">
        <v>338.47198500000002</v>
      </c>
      <c r="N33">
        <v>312.290009</v>
      </c>
      <c r="O33">
        <v>313.38000499999998</v>
      </c>
      <c r="P33">
        <v>313.38000499999998</v>
      </c>
      <c r="Q33">
        <v>484400</v>
      </c>
      <c r="R33">
        <f xml:space="preserve"> (SEDG4[[#This Row],[Close]]-O32)/O32</f>
        <v>-5.1972389593250255E-2</v>
      </c>
      <c r="V33">
        <f xml:space="preserve"> X33/(2*ENPH[[#This Row],[Close]])</f>
        <v>2100.2885609063528</v>
      </c>
      <c r="W33">
        <f xml:space="preserve"> X33/(2*SEDG4[[#This Row],[Close]])</f>
        <v>1449.9886256425991</v>
      </c>
      <c r="X33">
        <f t="shared" si="0"/>
        <v>908794.88550764159</v>
      </c>
      <c r="Y33">
        <f t="shared" si="23"/>
        <v>-4.6387875946681888E-2</v>
      </c>
      <c r="Z33">
        <f xml:space="preserve"> V33*ENPH[[#This Row],[Close]]</f>
        <v>454397.4427538208</v>
      </c>
      <c r="AA33">
        <f xml:space="preserve"> W33*SEDG4[[#This Row],[Close]]</f>
        <v>454397.4427538208</v>
      </c>
      <c r="AB33">
        <f t="shared" si="1"/>
        <v>908794.88550764159</v>
      </c>
      <c r="AC33" t="b">
        <f t="shared" si="2"/>
        <v>1</v>
      </c>
      <c r="AE33">
        <v>29</v>
      </c>
      <c r="AF33">
        <f t="shared" si="3"/>
        <v>238417.23025362627</v>
      </c>
      <c r="AG33">
        <f t="shared" si="4"/>
        <v>313834.92553793662</v>
      </c>
      <c r="AH33">
        <f t="shared" si="5"/>
        <v>340596.04321946611</v>
      </c>
      <c r="AJ33">
        <v>29</v>
      </c>
      <c r="AK33">
        <f t="shared" si="6"/>
        <v>213992.52181927147</v>
      </c>
      <c r="AL33">
        <f t="shared" si="7"/>
        <v>281684.03382332675</v>
      </c>
      <c r="AM33">
        <f t="shared" si="8"/>
        <v>305703.60259895923</v>
      </c>
      <c r="AO33">
        <v>29</v>
      </c>
      <c r="AP33">
        <f t="shared" si="9"/>
        <v>435232.57825069572</v>
      </c>
      <c r="AQ33">
        <f t="shared" si="10"/>
        <v>572908.1897381607</v>
      </c>
      <c r="AR33">
        <f t="shared" si="11"/>
        <v>621760.82607242244</v>
      </c>
      <c r="AT33">
        <f t="shared" si="12"/>
        <v>452409.75207289774</v>
      </c>
      <c r="AU33" t="b">
        <f t="shared" si="13"/>
        <v>0</v>
      </c>
      <c r="AV33">
        <f t="shared" si="14"/>
        <v>595518.95936126332</v>
      </c>
      <c r="AW33" t="b">
        <f t="shared" si="15"/>
        <v>0</v>
      </c>
      <c r="AX33">
        <f t="shared" si="16"/>
        <v>646299.64581842534</v>
      </c>
      <c r="AY33" t="b">
        <f t="shared" si="17"/>
        <v>0</v>
      </c>
      <c r="BA33">
        <v>29</v>
      </c>
      <c r="BB33">
        <f t="shared" si="18"/>
        <v>-1.0218876178248965E-3</v>
      </c>
      <c r="BC33">
        <f t="shared" si="19"/>
        <v>-2.2755934473549125E-3</v>
      </c>
      <c r="BD33">
        <f t="shared" si="20"/>
        <v>-1.6313324057936013E-3</v>
      </c>
      <c r="BG33">
        <v>28</v>
      </c>
      <c r="BH33">
        <f t="shared" si="24"/>
        <v>38456.694719297979</v>
      </c>
      <c r="BI33">
        <f t="shared" si="25"/>
        <v>50621.567538667747</v>
      </c>
      <c r="BJ33">
        <f t="shared" si="26"/>
        <v>54938.135313282823</v>
      </c>
      <c r="BL33">
        <v>28</v>
      </c>
      <c r="BM33">
        <f t="shared" si="27"/>
        <v>26946.755388761638</v>
      </c>
      <c r="BN33">
        <f t="shared" si="28"/>
        <v>35470.72903214542</v>
      </c>
      <c r="BO33">
        <f t="shared" si="29"/>
        <v>38495.364841088049</v>
      </c>
      <c r="BQ33">
        <v>28</v>
      </c>
      <c r="BR33">
        <f t="shared" si="30"/>
        <v>60864.908789667526</v>
      </c>
      <c r="BS33">
        <f t="shared" si="31"/>
        <v>80118.094223133783</v>
      </c>
      <c r="BT33">
        <f t="shared" si="32"/>
        <v>86949.869699525036</v>
      </c>
      <c r="BV33" t="b">
        <f t="shared" si="33"/>
        <v>0</v>
      </c>
      <c r="BW33" t="b">
        <f t="shared" si="34"/>
        <v>0</v>
      </c>
      <c r="BX33" t="b">
        <f t="shared" si="35"/>
        <v>0</v>
      </c>
      <c r="CB33">
        <v>-4.104425760806589E-2</v>
      </c>
      <c r="CC33">
        <v>28</v>
      </c>
      <c r="CD33">
        <v>-3.6323105018888774E-2</v>
      </c>
      <c r="CG33">
        <v>-5.1972389593250255E-2</v>
      </c>
      <c r="CH33">
        <v>-2.8098856430918848E-2</v>
      </c>
      <c r="CK33">
        <v>-4.6387875946681888E-2</v>
      </c>
      <c r="CL33">
        <v>-2.7799965101398167E-2</v>
      </c>
      <c r="CP33">
        <v>28</v>
      </c>
      <c r="CQ33">
        <f t="shared" si="36"/>
        <v>171032.28090276849</v>
      </c>
      <c r="CR33">
        <f t="shared" si="37"/>
        <v>293989.66548539186</v>
      </c>
      <c r="CS33">
        <f t="shared" si="38"/>
        <v>317745.51887699438</v>
      </c>
      <c r="CT33">
        <f t="shared" si="39"/>
        <v>156393.40378535542</v>
      </c>
      <c r="CU33">
        <f t="shared" si="21"/>
        <v>250546.5211687425</v>
      </c>
      <c r="CV33">
        <f t="shared" si="22"/>
        <v>266184.74277836352</v>
      </c>
      <c r="CW33">
        <f t="shared" si="43"/>
        <v>302754.856308127</v>
      </c>
      <c r="CX33">
        <f t="shared" si="44"/>
        <v>513986.58630319184</v>
      </c>
      <c r="CY33">
        <f t="shared" si="45"/>
        <v>555436.52232258138</v>
      </c>
      <c r="DB33" t="b">
        <f t="shared" si="40"/>
        <v>0</v>
      </c>
      <c r="DC33" t="b">
        <f t="shared" si="41"/>
        <v>0</v>
      </c>
      <c r="DD33" t="b">
        <f t="shared" si="42"/>
        <v>0</v>
      </c>
    </row>
    <row r="34" spans="1:108" x14ac:dyDescent="0.25">
      <c r="A34" s="1">
        <v>44540</v>
      </c>
      <c r="B34">
        <v>220.58999600000001</v>
      </c>
      <c r="C34">
        <v>223.320007</v>
      </c>
      <c r="D34">
        <v>214.550003</v>
      </c>
      <c r="E34">
        <v>215.020004</v>
      </c>
      <c r="F34">
        <v>215.020004</v>
      </c>
      <c r="G34">
        <v>1639000</v>
      </c>
      <c r="H34">
        <f xml:space="preserve"> (ENPH[[#This Row],[Close]]-E33)/E33</f>
        <v>-6.1474553414156479E-3</v>
      </c>
      <c r="K34" s="1">
        <v>44540</v>
      </c>
      <c r="L34">
        <v>317.98001099999999</v>
      </c>
      <c r="M34">
        <v>321.98001099999999</v>
      </c>
      <c r="N34">
        <v>303.42001299999998</v>
      </c>
      <c r="O34">
        <v>309.08999599999999</v>
      </c>
      <c r="P34">
        <v>309.08999599999999</v>
      </c>
      <c r="Q34">
        <v>484000</v>
      </c>
      <c r="R34">
        <f xml:space="preserve"> (SEDG4[[#This Row],[Close]]-O33)/O33</f>
        <v>-1.3689479008081571E-2</v>
      </c>
      <c r="V34">
        <f xml:space="preserve"> X34/(2*ENPH[[#This Row],[Close]])</f>
        <v>2092.5406677015144</v>
      </c>
      <c r="W34">
        <f xml:space="preserve"> X34/(2*SEDG4[[#This Row],[Close]])</f>
        <v>1455.6863973667471</v>
      </c>
      <c r="X34">
        <f t="shared" si="0"/>
        <v>899876.20547868451</v>
      </c>
      <c r="Y34">
        <f t="shared" si="23"/>
        <v>-9.8137436413665742E-3</v>
      </c>
      <c r="Z34">
        <f xml:space="preserve"> V34*ENPH[[#This Row],[Close]]</f>
        <v>449938.10273934231</v>
      </c>
      <c r="AA34">
        <f xml:space="preserve"> W34*SEDG4[[#This Row],[Close]]</f>
        <v>449938.10273934226</v>
      </c>
      <c r="AB34">
        <f t="shared" si="1"/>
        <v>899876.20547868451</v>
      </c>
      <c r="AC34" t="b">
        <f t="shared" si="2"/>
        <v>1</v>
      </c>
      <c r="AE34">
        <v>30</v>
      </c>
      <c r="AF34">
        <f t="shared" si="3"/>
        <v>242493.03370401496</v>
      </c>
      <c r="AG34">
        <f t="shared" si="4"/>
        <v>319200.01375324419</v>
      </c>
      <c r="AH34">
        <f t="shared" si="5"/>
        <v>346418.61957716424</v>
      </c>
      <c r="AJ34">
        <v>30</v>
      </c>
      <c r="AK34">
        <f t="shared" si="6"/>
        <v>217650.77864014191</v>
      </c>
      <c r="AL34">
        <f t="shared" si="7"/>
        <v>286499.4943324317</v>
      </c>
      <c r="AM34">
        <f t="shared" si="8"/>
        <v>310929.68377163127</v>
      </c>
      <c r="AO34">
        <v>30</v>
      </c>
      <c r="AP34">
        <f t="shared" si="9"/>
        <v>442672.9903478779</v>
      </c>
      <c r="AQ34">
        <f t="shared" si="10"/>
        <v>582702.20158036996</v>
      </c>
      <c r="AR34">
        <f t="shared" si="11"/>
        <v>632389.98621125415</v>
      </c>
      <c r="AT34">
        <f t="shared" si="12"/>
        <v>460143.8123441569</v>
      </c>
      <c r="AU34" t="b">
        <f t="shared" si="13"/>
        <v>0</v>
      </c>
      <c r="AV34">
        <f t="shared" si="14"/>
        <v>605699.50808567589</v>
      </c>
      <c r="AW34" t="b">
        <f t="shared" si="15"/>
        <v>0</v>
      </c>
      <c r="AX34">
        <f t="shared" si="16"/>
        <v>657348.30334879551</v>
      </c>
      <c r="AY34" t="b">
        <f t="shared" si="17"/>
        <v>0</v>
      </c>
      <c r="BA34">
        <v>30</v>
      </c>
      <c r="BB34">
        <f t="shared" si="18"/>
        <v>-1.0900539712109627E-3</v>
      </c>
      <c r="BC34">
        <f t="shared" si="19"/>
        <v>-2.7399875118508154E-3</v>
      </c>
      <c r="BD34">
        <f t="shared" si="20"/>
        <v>-1.8889714905852679E-3</v>
      </c>
      <c r="BG34">
        <v>29</v>
      </c>
      <c r="BH34">
        <f t="shared" si="24"/>
        <v>39137.397028775951</v>
      </c>
      <c r="BI34">
        <f t="shared" si="25"/>
        <v>51517.594048082632</v>
      </c>
      <c r="BJ34">
        <f t="shared" si="26"/>
        <v>55910.567183965642</v>
      </c>
      <c r="BL34">
        <v>29</v>
      </c>
      <c r="BM34">
        <f t="shared" si="27"/>
        <v>27423.726141447347</v>
      </c>
      <c r="BN34">
        <f t="shared" si="28"/>
        <v>36098.578288231714</v>
      </c>
      <c r="BO34">
        <f t="shared" si="29"/>
        <v>39176.751630639061</v>
      </c>
      <c r="BQ34">
        <v>29</v>
      </c>
      <c r="BR34">
        <f t="shared" si="30"/>
        <v>61942.247450249364</v>
      </c>
      <c r="BS34">
        <f t="shared" si="31"/>
        <v>81536.223684511919</v>
      </c>
      <c r="BT34">
        <f t="shared" si="32"/>
        <v>88488.924928927649</v>
      </c>
      <c r="BV34" t="b">
        <f t="shared" si="33"/>
        <v>0</v>
      </c>
      <c r="BW34" t="b">
        <f t="shared" si="34"/>
        <v>0</v>
      </c>
      <c r="BX34" t="b">
        <f t="shared" si="35"/>
        <v>0</v>
      </c>
      <c r="CB34">
        <v>-6.1474553414156479E-3</v>
      </c>
      <c r="CC34">
        <v>29</v>
      </c>
      <c r="CD34">
        <v>-3.427539240212836E-2</v>
      </c>
      <c r="CG34">
        <v>-1.3689479008081571E-2</v>
      </c>
      <c r="CH34">
        <v>-2.6246539726027442E-2</v>
      </c>
      <c r="CK34">
        <v>-9.8137436413665742E-3</v>
      </c>
      <c r="CL34">
        <v>-2.639957685553217E-2</v>
      </c>
      <c r="CP34">
        <v>29</v>
      </c>
      <c r="CQ34">
        <f t="shared" si="36"/>
        <v>174059.63594343394</v>
      </c>
      <c r="CR34">
        <f t="shared" si="37"/>
        <v>299193.42638370278</v>
      </c>
      <c r="CS34">
        <f t="shared" si="38"/>
        <v>323369.77000165771</v>
      </c>
      <c r="CT34">
        <f t="shared" si="39"/>
        <v>159161.64353973014</v>
      </c>
      <c r="CU34">
        <f t="shared" si="21"/>
        <v>254981.31716034011</v>
      </c>
      <c r="CV34">
        <f t="shared" si="22"/>
        <v>270896.34294264147</v>
      </c>
      <c r="CW34">
        <f t="shared" si="43"/>
        <v>308113.76537191606</v>
      </c>
      <c r="CX34">
        <f t="shared" si="44"/>
        <v>523084.40032207873</v>
      </c>
      <c r="CY34">
        <f t="shared" si="45"/>
        <v>565268.0204862461</v>
      </c>
      <c r="DB34" t="b">
        <f t="shared" si="40"/>
        <v>0</v>
      </c>
      <c r="DC34" t="b">
        <f t="shared" si="41"/>
        <v>0</v>
      </c>
      <c r="DD34" t="b">
        <f t="shared" si="42"/>
        <v>0</v>
      </c>
    </row>
    <row r="35" spans="1:108" x14ac:dyDescent="0.25">
      <c r="A35" s="1">
        <v>44543</v>
      </c>
      <c r="B35">
        <v>215.63000500000001</v>
      </c>
      <c r="C35">
        <v>220.35000600000001</v>
      </c>
      <c r="D35">
        <v>208.479996</v>
      </c>
      <c r="E35">
        <v>213.520004</v>
      </c>
      <c r="F35">
        <v>213.520004</v>
      </c>
      <c r="G35">
        <v>2446800</v>
      </c>
      <c r="H35">
        <f xml:space="preserve"> (ENPH[[#This Row],[Close]]-E34)/E34</f>
        <v>-6.9760951171780276E-3</v>
      </c>
      <c r="K35" s="1">
        <v>44543</v>
      </c>
      <c r="L35">
        <v>310.32000699999998</v>
      </c>
      <c r="M35">
        <v>314.29998799999998</v>
      </c>
      <c r="N35">
        <v>302.14001500000001</v>
      </c>
      <c r="O35">
        <v>303.67001299999998</v>
      </c>
      <c r="P35">
        <v>303.67001299999998</v>
      </c>
      <c r="Q35">
        <v>627500</v>
      </c>
      <c r="R35">
        <f xml:space="preserve"> (SEDG4[[#This Row],[Close]]-O34)/O34</f>
        <v>-1.7535290918959417E-2</v>
      </c>
      <c r="V35">
        <f xml:space="preserve"> X35/(2*ENPH[[#This Row],[Close]])</f>
        <v>2081.7665791504414</v>
      </c>
      <c r="W35">
        <f xml:space="preserve"> X35/(2*SEDG4[[#This Row],[Close]])</f>
        <v>1463.7560156697743</v>
      </c>
      <c r="X35">
        <f t="shared" si="0"/>
        <v>888997.61661453708</v>
      </c>
      <c r="Y35">
        <f t="shared" si="23"/>
        <v>-1.2088983793454813E-2</v>
      </c>
      <c r="Z35">
        <f xml:space="preserve"> V35*ENPH[[#This Row],[Close]]</f>
        <v>444498.8083072686</v>
      </c>
      <c r="AA35">
        <f xml:space="preserve"> W35*SEDG4[[#This Row],[Close]]</f>
        <v>444498.80830726854</v>
      </c>
      <c r="AB35">
        <f t="shared" si="1"/>
        <v>888997.61661453708</v>
      </c>
      <c r="AC35" t="b">
        <f t="shared" si="2"/>
        <v>1</v>
      </c>
      <c r="AE35">
        <v>31</v>
      </c>
      <c r="AF35">
        <f t="shared" si="3"/>
        <v>246501.45457611891</v>
      </c>
      <c r="AG35">
        <f t="shared" si="4"/>
        <v>324476.40449305449</v>
      </c>
      <c r="AH35">
        <f t="shared" si="5"/>
        <v>352144.93510874128</v>
      </c>
      <c r="AJ35">
        <v>31</v>
      </c>
      <c r="AK35">
        <f t="shared" si="6"/>
        <v>221248.55590658376</v>
      </c>
      <c r="AL35">
        <f t="shared" si="7"/>
        <v>291235.34399948269</v>
      </c>
      <c r="AM35">
        <f t="shared" si="8"/>
        <v>316069.36558083392</v>
      </c>
      <c r="AO35">
        <v>31</v>
      </c>
      <c r="AP35">
        <f t="shared" si="9"/>
        <v>449990.39500451204</v>
      </c>
      <c r="AQ35">
        <f t="shared" si="10"/>
        <v>592334.29546512302</v>
      </c>
      <c r="AR35">
        <f t="shared" si="11"/>
        <v>642843.42143501726</v>
      </c>
      <c r="AT35">
        <f t="shared" si="12"/>
        <v>467750.01048270264</v>
      </c>
      <c r="AU35" t="b">
        <f t="shared" si="13"/>
        <v>0</v>
      </c>
      <c r="AV35">
        <f t="shared" si="14"/>
        <v>615711.74849253718</v>
      </c>
      <c r="AW35" t="b">
        <f t="shared" si="15"/>
        <v>0</v>
      </c>
      <c r="AX35">
        <f t="shared" si="16"/>
        <v>668214.30068957526</v>
      </c>
      <c r="AY35" t="b">
        <f t="shared" si="17"/>
        <v>0</v>
      </c>
      <c r="BA35">
        <v>31</v>
      </c>
      <c r="BB35">
        <f t="shared" si="18"/>
        <v>-7.7044705426374763E-3</v>
      </c>
      <c r="BC35">
        <f t="shared" si="19"/>
        <v>-2.5973941681717346E-3</v>
      </c>
      <c r="BD35">
        <f t="shared" si="20"/>
        <v>-5.2451962097103174E-3</v>
      </c>
      <c r="BG35">
        <v>30</v>
      </c>
      <c r="BH35">
        <f t="shared" si="24"/>
        <v>39806.460827895775</v>
      </c>
      <c r="BI35">
        <f t="shared" si="25"/>
        <v>52398.300477536279</v>
      </c>
      <c r="BJ35">
        <f t="shared" si="26"/>
        <v>56866.372611279679</v>
      </c>
      <c r="BL35">
        <v>30</v>
      </c>
      <c r="BM35">
        <f t="shared" si="27"/>
        <v>27892.541744711092</v>
      </c>
      <c r="BN35">
        <f t="shared" si="28"/>
        <v>36715.692704772766</v>
      </c>
      <c r="BO35">
        <f t="shared" si="29"/>
        <v>39846.48820673013</v>
      </c>
      <c r="BQ35">
        <v>30</v>
      </c>
      <c r="BR35">
        <f t="shared" si="30"/>
        <v>63001.165992394934</v>
      </c>
      <c r="BS35">
        <f t="shared" si="31"/>
        <v>82930.106255295381</v>
      </c>
      <c r="BT35">
        <f t="shared" si="32"/>
        <v>90001.665703421328</v>
      </c>
      <c r="BV35" t="b">
        <f t="shared" si="33"/>
        <v>0</v>
      </c>
      <c r="BW35" t="b">
        <f t="shared" si="34"/>
        <v>0</v>
      </c>
      <c r="BX35" t="b">
        <f t="shared" si="35"/>
        <v>0</v>
      </c>
      <c r="CB35">
        <v>-6.9760951171780276E-3</v>
      </c>
      <c r="CC35">
        <v>30</v>
      </c>
      <c r="CD35">
        <v>-3.3450789375724377E-2</v>
      </c>
      <c r="CG35">
        <v>-1.7535290918959417E-2</v>
      </c>
      <c r="CH35">
        <v>-2.5951498214417786E-2</v>
      </c>
      <c r="CK35">
        <v>-1.2088983793454813E-2</v>
      </c>
      <c r="CL35">
        <v>-2.544943898671163E-2</v>
      </c>
      <c r="CP35">
        <v>30</v>
      </c>
      <c r="CQ35">
        <f t="shared" si="36"/>
        <v>177035.22988015137</v>
      </c>
      <c r="CR35">
        <f t="shared" si="37"/>
        <v>304308.21443107276</v>
      </c>
      <c r="CS35">
        <f t="shared" si="38"/>
        <v>328897.85881856951</v>
      </c>
      <c r="CT35">
        <f t="shared" si="39"/>
        <v>161882.5524908939</v>
      </c>
      <c r="CU35">
        <f t="shared" si="21"/>
        <v>259340.28790738393</v>
      </c>
      <c r="CV35">
        <f t="shared" si="22"/>
        <v>275527.38512062811</v>
      </c>
      <c r="CW35">
        <f t="shared" si="43"/>
        <v>313381.04889282258</v>
      </c>
      <c r="CX35">
        <f t="shared" si="44"/>
        <v>532026.66175766895</v>
      </c>
      <c r="CY35">
        <f t="shared" si="45"/>
        <v>574931.42168355617</v>
      </c>
      <c r="DB35" t="b">
        <f t="shared" si="40"/>
        <v>0</v>
      </c>
      <c r="DC35" t="b">
        <f t="shared" si="41"/>
        <v>0</v>
      </c>
      <c r="DD35" t="b">
        <f t="shared" si="42"/>
        <v>0</v>
      </c>
    </row>
    <row r="36" spans="1:108" x14ac:dyDescent="0.25">
      <c r="A36" s="1">
        <v>44544</v>
      </c>
      <c r="B36">
        <v>205.10000600000001</v>
      </c>
      <c r="C36">
        <v>206.19000199999999</v>
      </c>
      <c r="D36">
        <v>194.13999899999999</v>
      </c>
      <c r="E36">
        <v>202.320007</v>
      </c>
      <c r="F36">
        <v>202.320007</v>
      </c>
      <c r="G36">
        <v>3418100</v>
      </c>
      <c r="H36">
        <f xml:space="preserve"> (ENPH[[#This Row],[Close]]-E35)/E35</f>
        <v>-5.2454087627311942E-2</v>
      </c>
      <c r="K36" s="1">
        <v>44544</v>
      </c>
      <c r="L36">
        <v>292.76001000000002</v>
      </c>
      <c r="M36">
        <v>300.97000100000002</v>
      </c>
      <c r="N36">
        <v>282.23998999999998</v>
      </c>
      <c r="O36">
        <v>298.29998799999998</v>
      </c>
      <c r="P36">
        <v>298.29998799999998</v>
      </c>
      <c r="Q36">
        <v>1274300</v>
      </c>
      <c r="R36">
        <f xml:space="preserve"> (SEDG4[[#This Row],[Close]]-O35)/O35</f>
        <v>-1.7683751342283501E-2</v>
      </c>
      <c r="V36">
        <f xml:space="preserve"> X36/(2*ENPH[[#This Row],[Close]])</f>
        <v>2118.5519624045064</v>
      </c>
      <c r="W36">
        <f xml:space="preserve"> X36/(2*SEDG4[[#This Row],[Close]])</f>
        <v>1436.8939494008412</v>
      </c>
      <c r="X36">
        <f t="shared" si="0"/>
        <v>857250.89572708705</v>
      </c>
      <c r="Y36">
        <f t="shared" si="23"/>
        <v>-3.5710692913156802E-2</v>
      </c>
      <c r="Z36">
        <f xml:space="preserve"> V36*ENPH[[#This Row],[Close]]</f>
        <v>428625.44786354346</v>
      </c>
      <c r="AA36">
        <f xml:space="preserve"> W36*SEDG4[[#This Row],[Close]]</f>
        <v>428625.44786354352</v>
      </c>
      <c r="AB36">
        <f t="shared" si="1"/>
        <v>857250.89572708705</v>
      </c>
      <c r="AC36" t="b">
        <f t="shared" si="2"/>
        <v>1</v>
      </c>
      <c r="AE36">
        <v>32</v>
      </c>
      <c r="AF36">
        <f t="shared" si="3"/>
        <v>250445.72829519035</v>
      </c>
      <c r="AG36">
        <f t="shared" si="4"/>
        <v>329668.35663346486</v>
      </c>
      <c r="AH36">
        <f t="shared" si="5"/>
        <v>357779.61185027193</v>
      </c>
      <c r="AJ36">
        <v>32</v>
      </c>
      <c r="AK36">
        <f t="shared" si="6"/>
        <v>224788.7575899591</v>
      </c>
      <c r="AL36">
        <f t="shared" si="7"/>
        <v>295895.4053990278</v>
      </c>
      <c r="AM36">
        <f t="shared" si="8"/>
        <v>321126.79655708442</v>
      </c>
      <c r="AO36">
        <v>32</v>
      </c>
      <c r="AP36">
        <f t="shared" si="9"/>
        <v>457190.69851551141</v>
      </c>
      <c r="AQ36">
        <f t="shared" si="10"/>
        <v>601812.24600511207</v>
      </c>
      <c r="AR36">
        <f t="shared" si="11"/>
        <v>653129.56930787349</v>
      </c>
      <c r="AT36">
        <f t="shared" si="12"/>
        <v>475234.48588514945</v>
      </c>
      <c r="AU36" t="b">
        <f t="shared" si="13"/>
        <v>0</v>
      </c>
      <c r="AV36">
        <f t="shared" si="14"/>
        <v>625563.76203249267</v>
      </c>
      <c r="AW36" t="b">
        <f t="shared" si="15"/>
        <v>0</v>
      </c>
      <c r="AX36">
        <f t="shared" si="16"/>
        <v>678906.40840735636</v>
      </c>
      <c r="AY36" t="b">
        <f t="shared" si="17"/>
        <v>0</v>
      </c>
      <c r="BA36">
        <v>32</v>
      </c>
      <c r="BB36">
        <f t="shared" si="18"/>
        <v>1.1737548390995159E-3</v>
      </c>
      <c r="BC36">
        <f t="shared" si="19"/>
        <v>3.3325087589117603E-3</v>
      </c>
      <c r="BD36">
        <f t="shared" si="20"/>
        <v>2.232720166258661E-3</v>
      </c>
      <c r="BG36">
        <v>31</v>
      </c>
      <c r="BH36">
        <f t="shared" si="24"/>
        <v>40464.463435186692</v>
      </c>
      <c r="BI36">
        <f t="shared" si="25"/>
        <v>53264.446766725341</v>
      </c>
      <c r="BJ36">
        <f t="shared" si="26"/>
        <v>57806.376335980989</v>
      </c>
      <c r="BL36">
        <v>31</v>
      </c>
      <c r="BM36">
        <f t="shared" si="27"/>
        <v>28353.606727889121</v>
      </c>
      <c r="BN36">
        <f t="shared" si="28"/>
        <v>37322.604774466294</v>
      </c>
      <c r="BO36">
        <f t="shared" si="29"/>
        <v>40505.152468413027</v>
      </c>
      <c r="BQ36">
        <v>31</v>
      </c>
      <c r="BR36">
        <f t="shared" si="30"/>
        <v>64042.578130605238</v>
      </c>
      <c r="BS36">
        <f t="shared" si="31"/>
        <v>84300.944682123227</v>
      </c>
      <c r="BT36">
        <f t="shared" si="32"/>
        <v>91489.397329436048</v>
      </c>
      <c r="BV36" t="b">
        <f t="shared" si="33"/>
        <v>0</v>
      </c>
      <c r="BW36" t="b">
        <f t="shared" si="34"/>
        <v>0</v>
      </c>
      <c r="BX36" t="b">
        <f t="shared" si="35"/>
        <v>0</v>
      </c>
      <c r="CB36">
        <v>-5.2454087627311942E-2</v>
      </c>
      <c r="CC36">
        <v>31</v>
      </c>
      <c r="CD36">
        <v>-3.3042328556089719E-2</v>
      </c>
      <c r="CG36">
        <v>-1.7683751342283501E-2</v>
      </c>
      <c r="CH36">
        <v>-2.57303474341356E-2</v>
      </c>
      <c r="CK36">
        <v>-3.5710692913156802E-2</v>
      </c>
      <c r="CL36">
        <v>-2.4483672571814587E-2</v>
      </c>
      <c r="CP36">
        <v>31</v>
      </c>
      <c r="CQ36">
        <f t="shared" si="36"/>
        <v>179961.63027899945</v>
      </c>
      <c r="CR36">
        <f t="shared" si="37"/>
        <v>309338.44305103004</v>
      </c>
      <c r="CS36">
        <f t="shared" si="38"/>
        <v>334334.55537822336</v>
      </c>
      <c r="CT36">
        <f t="shared" si="39"/>
        <v>164558.4784435792</v>
      </c>
      <c r="CU36">
        <f t="shared" si="21"/>
        <v>263627.19465743209</v>
      </c>
      <c r="CV36">
        <f t="shared" si="22"/>
        <v>280081.86532355967</v>
      </c>
      <c r="CW36">
        <f t="shared" si="43"/>
        <v>318561.25187893014</v>
      </c>
      <c r="CX36">
        <f t="shared" si="44"/>
        <v>540821.08666518296</v>
      </c>
      <c r="CY36">
        <f t="shared" si="45"/>
        <v>584435.06422331545</v>
      </c>
      <c r="DB36" t="b">
        <f t="shared" si="40"/>
        <v>0</v>
      </c>
      <c r="DC36" t="b">
        <f t="shared" si="41"/>
        <v>0</v>
      </c>
      <c r="DD36" t="b">
        <f t="shared" si="42"/>
        <v>0</v>
      </c>
    </row>
    <row r="37" spans="1:108" x14ac:dyDescent="0.25">
      <c r="A37" s="1">
        <v>44545</v>
      </c>
      <c r="B37">
        <v>203.30999800000001</v>
      </c>
      <c r="C37">
        <v>204.970001</v>
      </c>
      <c r="D37">
        <v>192.83000200000001</v>
      </c>
      <c r="E37">
        <v>204.03999300000001</v>
      </c>
      <c r="F37">
        <v>204.03999300000001</v>
      </c>
      <c r="G37">
        <v>2771500</v>
      </c>
      <c r="H37">
        <f xml:space="preserve"> (ENPH[[#This Row],[Close]]-E36)/E36</f>
        <v>8.5013144547785909E-3</v>
      </c>
      <c r="K37" s="1">
        <v>44545</v>
      </c>
      <c r="L37">
        <v>296.67999300000002</v>
      </c>
      <c r="M37">
        <v>305.82998700000002</v>
      </c>
      <c r="N37">
        <v>287.79998799999998</v>
      </c>
      <c r="O37">
        <v>305.5</v>
      </c>
      <c r="P37">
        <v>305.5</v>
      </c>
      <c r="Q37">
        <v>793400</v>
      </c>
      <c r="R37">
        <f xml:space="preserve"> (SEDG4[[#This Row],[Close]]-O36)/O36</f>
        <v>2.4136816257599097E-2</v>
      </c>
      <c r="V37">
        <f xml:space="preserve"> X37/(2*ENPH[[#This Row],[Close]])</f>
        <v>2134.6640968579341</v>
      </c>
      <c r="W37">
        <f xml:space="preserve"> X37/(2*SEDG4[[#This Row],[Close]])</f>
        <v>1425.717994698017</v>
      </c>
      <c r="X37">
        <f t="shared" ref="X37:X68" si="46" xml:space="preserve"> $V$5*E37+$W$5*O37</f>
        <v>871113.69476048846</v>
      </c>
      <c r="Y37">
        <f t="shared" si="23"/>
        <v>1.6171227236389793E-2</v>
      </c>
      <c r="Z37">
        <f xml:space="preserve"> V37*ENPH[[#This Row],[Close]]</f>
        <v>435556.84738024423</v>
      </c>
      <c r="AA37">
        <f xml:space="preserve"> W37*SEDG4[[#This Row],[Close]]</f>
        <v>435556.84738024423</v>
      </c>
      <c r="AB37">
        <f t="shared" si="1"/>
        <v>871113.69476048846</v>
      </c>
      <c r="AC37" t="b">
        <f t="shared" si="2"/>
        <v>1</v>
      </c>
      <c r="AE37">
        <v>33</v>
      </c>
      <c r="AF37">
        <f t="shared" si="3"/>
        <v>254328.83936839364</v>
      </c>
      <c r="AG37">
        <f t="shared" si="4"/>
        <v>334779.79876043653</v>
      </c>
      <c r="AH37">
        <f t="shared" si="5"/>
        <v>363326.91338341951</v>
      </c>
      <c r="AJ37">
        <v>33</v>
      </c>
      <c r="AK37">
        <f t="shared" si="6"/>
        <v>228274.06244890386</v>
      </c>
      <c r="AL37">
        <f t="shared" si="7"/>
        <v>300483.20465212857</v>
      </c>
      <c r="AM37">
        <f t="shared" si="8"/>
        <v>326105.80349843408</v>
      </c>
      <c r="AO37">
        <v>33</v>
      </c>
      <c r="AP37">
        <f t="shared" si="9"/>
        <v>464279.3491227944</v>
      </c>
      <c r="AQ37">
        <f t="shared" si="10"/>
        <v>611143.22486571921</v>
      </c>
      <c r="AR37">
        <f t="shared" si="11"/>
        <v>663256.21303256345</v>
      </c>
      <c r="AT37">
        <f t="shared" si="12"/>
        <v>482602.9018172975</v>
      </c>
      <c r="AU37" t="b">
        <f t="shared" si="13"/>
        <v>0</v>
      </c>
      <c r="AV37">
        <f t="shared" si="14"/>
        <v>635263.0034125651</v>
      </c>
      <c r="AW37" t="b">
        <f t="shared" si="15"/>
        <v>0</v>
      </c>
      <c r="AX37">
        <f t="shared" si="16"/>
        <v>689432.71688185353</v>
      </c>
      <c r="AY37" t="b">
        <f t="shared" si="17"/>
        <v>0</v>
      </c>
      <c r="BA37">
        <v>33</v>
      </c>
      <c r="BB37">
        <f t="shared" si="18"/>
        <v>-8.3897348650202614E-3</v>
      </c>
      <c r="BC37">
        <f t="shared" si="19"/>
        <v>-7.8464800191482848E-3</v>
      </c>
      <c r="BD37">
        <f t="shared" si="20"/>
        <v>-8.1211550964220107E-3</v>
      </c>
      <c r="BG37">
        <v>32</v>
      </c>
      <c r="BH37">
        <f t="shared" si="24"/>
        <v>41111.935962106203</v>
      </c>
      <c r="BI37">
        <f t="shared" si="25"/>
        <v>54116.73203175205</v>
      </c>
      <c r="BJ37">
        <f t="shared" si="26"/>
        <v>58731.33708872315</v>
      </c>
      <c r="BL37">
        <v>32</v>
      </c>
      <c r="BM37">
        <f t="shared" si="27"/>
        <v>28807.293242842999</v>
      </c>
      <c r="BN37">
        <f t="shared" si="28"/>
        <v>37919.804370681093</v>
      </c>
      <c r="BO37">
        <f t="shared" si="29"/>
        <v>41153.276061204284</v>
      </c>
      <c r="BQ37">
        <v>32</v>
      </c>
      <c r="BR37">
        <f t="shared" si="30"/>
        <v>65067.324448051921</v>
      </c>
      <c r="BS37">
        <f t="shared" si="31"/>
        <v>85649.845446925494</v>
      </c>
      <c r="BT37">
        <f t="shared" si="32"/>
        <v>92953.320640074162</v>
      </c>
      <c r="BV37" t="b">
        <f t="shared" si="33"/>
        <v>0</v>
      </c>
      <c r="BW37" t="b">
        <f t="shared" si="34"/>
        <v>0</v>
      </c>
      <c r="BX37" t="b">
        <f t="shared" si="35"/>
        <v>0</v>
      </c>
      <c r="CB37">
        <v>8.5013144547785909E-3</v>
      </c>
      <c r="CC37">
        <v>32</v>
      </c>
      <c r="CD37">
        <v>-3.0105871498881952E-2</v>
      </c>
      <c r="CG37">
        <v>2.4136816257599097E-2</v>
      </c>
      <c r="CH37">
        <v>-2.5342668576579873E-2</v>
      </c>
      <c r="CK37">
        <v>1.6171227236389793E-2</v>
      </c>
      <c r="CL37">
        <v>-2.4129254797645775E-2</v>
      </c>
      <c r="CP37">
        <v>32</v>
      </c>
      <c r="CQ37">
        <f t="shared" si="36"/>
        <v>182841.19920475411</v>
      </c>
      <c r="CR37">
        <f t="shared" si="37"/>
        <v>314288.17242817616</v>
      </c>
      <c r="CS37">
        <f t="shared" si="38"/>
        <v>339684.24794869282</v>
      </c>
      <c r="CT37">
        <f t="shared" si="39"/>
        <v>167191.58129034136</v>
      </c>
      <c r="CU37">
        <f t="shared" si="21"/>
        <v>267845.49761758262</v>
      </c>
      <c r="CV37">
        <f t="shared" si="22"/>
        <v>284563.45973233867</v>
      </c>
      <c r="CW37">
        <f t="shared" si="43"/>
        <v>323658.55556771043</v>
      </c>
      <c r="CX37">
        <f t="shared" si="44"/>
        <v>549474.77352687425</v>
      </c>
      <c r="CY37">
        <f t="shared" si="45"/>
        <v>593786.61903780454</v>
      </c>
      <c r="DB37" t="b">
        <f t="shared" si="40"/>
        <v>0</v>
      </c>
      <c r="DC37" t="b">
        <f t="shared" si="41"/>
        <v>0</v>
      </c>
      <c r="DD37" t="b">
        <f t="shared" si="42"/>
        <v>0</v>
      </c>
    </row>
    <row r="38" spans="1:108" x14ac:dyDescent="0.25">
      <c r="A38" s="1">
        <v>44546</v>
      </c>
      <c r="B38">
        <v>209.60000600000001</v>
      </c>
      <c r="C38">
        <v>211</v>
      </c>
      <c r="D38">
        <v>189.509995</v>
      </c>
      <c r="E38">
        <v>190.85000600000001</v>
      </c>
      <c r="F38">
        <v>190.85000600000001</v>
      </c>
      <c r="G38">
        <v>3215400</v>
      </c>
      <c r="H38">
        <f xml:space="preserve"> (ENPH[[#This Row],[Close]]-E37)/E37</f>
        <v>-6.4644125918980999E-2</v>
      </c>
      <c r="K38" s="1">
        <v>44546</v>
      </c>
      <c r="L38">
        <v>310.97000100000002</v>
      </c>
      <c r="M38">
        <v>311.82998700000002</v>
      </c>
      <c r="N38">
        <v>284.07998700000002</v>
      </c>
      <c r="O38">
        <v>287.02999899999998</v>
      </c>
      <c r="P38">
        <v>287.02999899999998</v>
      </c>
      <c r="Q38">
        <v>969100</v>
      </c>
      <c r="R38">
        <f xml:space="preserve"> (SEDG4[[#This Row],[Close]]-O37)/O37</f>
        <v>-6.0458268412438704E-2</v>
      </c>
      <c r="V38">
        <f xml:space="preserve"> X38/(2*ENPH[[#This Row],[Close]])</f>
        <v>2139.386975587573</v>
      </c>
      <c r="W38">
        <f xml:space="preserve"> X38/(2*SEDG4[[#This Row],[Close]])</f>
        <v>1422.5064228467986</v>
      </c>
      <c r="X38">
        <f t="shared" si="46"/>
        <v>816604.03425442032</v>
      </c>
      <c r="Y38">
        <f t="shared" si="23"/>
        <v>-6.2574679785117493E-2</v>
      </c>
      <c r="Z38">
        <f xml:space="preserve"> V38*ENPH[[#This Row],[Close]]</f>
        <v>408302.01712721016</v>
      </c>
      <c r="AA38">
        <f xml:space="preserve"> W38*SEDG4[[#This Row],[Close]]</f>
        <v>408302.01712721016</v>
      </c>
      <c r="AB38">
        <f t="shared" si="1"/>
        <v>816604.03425442032</v>
      </c>
      <c r="AC38" t="b">
        <f t="shared" si="2"/>
        <v>1</v>
      </c>
      <c r="AE38">
        <v>34</v>
      </c>
      <c r="AF38">
        <f t="shared" si="3"/>
        <v>258153.54781145285</v>
      </c>
      <c r="AG38">
        <f t="shared" si="4"/>
        <v>339814.36395589204</v>
      </c>
      <c r="AH38">
        <f t="shared" si="5"/>
        <v>368790.78258778976</v>
      </c>
      <c r="AJ38">
        <v>34</v>
      </c>
      <c r="AK38">
        <f t="shared" si="6"/>
        <v>231706.94774869122</v>
      </c>
      <c r="AL38">
        <f t="shared" si="7"/>
        <v>305002.00264878746</v>
      </c>
      <c r="AM38">
        <f t="shared" si="8"/>
        <v>331009.92535527318</v>
      </c>
      <c r="AO38">
        <v>34</v>
      </c>
      <c r="AP38">
        <f t="shared" si="9"/>
        <v>471261.38525734318</v>
      </c>
      <c r="AQ38">
        <f t="shared" si="10"/>
        <v>620333.86426731909</v>
      </c>
      <c r="AR38">
        <f t="shared" si="11"/>
        <v>673230.55036763311</v>
      </c>
      <c r="AT38">
        <f t="shared" si="12"/>
        <v>489860.49556014407</v>
      </c>
      <c r="AU38" t="b">
        <f t="shared" si="13"/>
        <v>0</v>
      </c>
      <c r="AV38">
        <f t="shared" si="14"/>
        <v>644816.3666046795</v>
      </c>
      <c r="AW38" t="b">
        <f t="shared" si="15"/>
        <v>0</v>
      </c>
      <c r="AX38">
        <f t="shared" si="16"/>
        <v>699800.707943063</v>
      </c>
      <c r="AY38" t="b">
        <f t="shared" si="17"/>
        <v>0</v>
      </c>
      <c r="BA38">
        <v>34</v>
      </c>
      <c r="BB38">
        <f t="shared" si="18"/>
        <v>-1.1122574943870295E-3</v>
      </c>
      <c r="BC38">
        <f t="shared" si="19"/>
        <v>7.7355783856871828E-4</v>
      </c>
      <c r="BD38">
        <f t="shared" si="20"/>
        <v>-1.7782432954668094E-4</v>
      </c>
      <c r="BG38">
        <v>33</v>
      </c>
      <c r="BH38">
        <f t="shared" si="24"/>
        <v>41749.368330635625</v>
      </c>
      <c r="BI38">
        <f t="shared" si="25"/>
        <v>54955.801169918326</v>
      </c>
      <c r="BJ38">
        <f t="shared" si="26"/>
        <v>59641.954758050888</v>
      </c>
      <c r="BL38">
        <v>33</v>
      </c>
      <c r="BM38">
        <f t="shared" si="27"/>
        <v>29253.944579808311</v>
      </c>
      <c r="BN38">
        <f t="shared" si="28"/>
        <v>38507.743375461963</v>
      </c>
      <c r="BO38">
        <f t="shared" si="29"/>
        <v>41791.349399726154</v>
      </c>
      <c r="BQ38">
        <v>33</v>
      </c>
      <c r="BR38">
        <f t="shared" si="30"/>
        <v>66076.180337860249</v>
      </c>
      <c r="BS38">
        <f t="shared" si="31"/>
        <v>86977.829220244617</v>
      </c>
      <c r="BT38">
        <f t="shared" si="32"/>
        <v>94394.543339800352</v>
      </c>
      <c r="BV38" t="b">
        <f t="shared" si="33"/>
        <v>0</v>
      </c>
      <c r="BW38" t="b">
        <f t="shared" si="34"/>
        <v>0</v>
      </c>
      <c r="BX38" t="b">
        <f t="shared" si="35"/>
        <v>0</v>
      </c>
      <c r="CB38">
        <v>-6.4644125918980999E-2</v>
      </c>
      <c r="CC38">
        <v>33</v>
      </c>
      <c r="CD38">
        <v>-2.9654036424760645E-2</v>
      </c>
      <c r="CG38">
        <v>-6.0458268412438704E-2</v>
      </c>
      <c r="CH38">
        <v>-2.3831155844155797E-2</v>
      </c>
      <c r="CK38">
        <v>-6.2574679785117493E-2</v>
      </c>
      <c r="CL38">
        <v>-2.3098379022172207E-2</v>
      </c>
      <c r="CP38">
        <v>33</v>
      </c>
      <c r="CQ38">
        <f t="shared" si="36"/>
        <v>185676.11553613952</v>
      </c>
      <c r="CR38">
        <f t="shared" si="37"/>
        <v>319161.14786616893</v>
      </c>
      <c r="CS38">
        <f t="shared" si="38"/>
        <v>344950.98447313299</v>
      </c>
      <c r="CT38">
        <f t="shared" si="39"/>
        <v>169783.85341681854</v>
      </c>
      <c r="CU38">
        <f t="shared" ref="CU38:CU69" si="47" xml:space="preserve"> $CJ$16*SQRT(CP38)</f>
        <v>271998.38864425884</v>
      </c>
      <c r="CV38">
        <f t="shared" ref="CV38:CV69" si="48" xml:space="preserve"> $CJ$19*SQRT(CP38)</f>
        <v>288975.55942769971</v>
      </c>
      <c r="CW38">
        <f t="shared" si="43"/>
        <v>328676.81692763517</v>
      </c>
      <c r="CX38">
        <f t="shared" si="44"/>
        <v>557994.27031387156</v>
      </c>
      <c r="CY38">
        <f t="shared" si="45"/>
        <v>602993.16215275822</v>
      </c>
      <c r="DB38" t="b">
        <f t="shared" si="40"/>
        <v>0</v>
      </c>
      <c r="DC38" t="b">
        <f t="shared" si="41"/>
        <v>0</v>
      </c>
      <c r="DD38" t="b">
        <f t="shared" si="42"/>
        <v>0</v>
      </c>
    </row>
    <row r="39" spans="1:108" x14ac:dyDescent="0.25">
      <c r="A39" s="1">
        <v>44547</v>
      </c>
      <c r="B39">
        <v>185.64999399999999</v>
      </c>
      <c r="C39">
        <v>192.300003</v>
      </c>
      <c r="D39">
        <v>178.69000199999999</v>
      </c>
      <c r="E39">
        <v>189.11000100000001</v>
      </c>
      <c r="F39">
        <v>189.11000100000001</v>
      </c>
      <c r="G39">
        <v>4416700</v>
      </c>
      <c r="H39">
        <f xml:space="preserve"> (ENPH[[#This Row],[Close]]-E38)/E38</f>
        <v>-9.117133588143542E-3</v>
      </c>
      <c r="K39" s="1">
        <v>44547</v>
      </c>
      <c r="L39">
        <v>283.04998799999998</v>
      </c>
      <c r="M39">
        <v>289.35998499999999</v>
      </c>
      <c r="N39">
        <v>273.97000100000002</v>
      </c>
      <c r="O39">
        <v>288.85000600000001</v>
      </c>
      <c r="P39">
        <v>288.85000600000001</v>
      </c>
      <c r="Q39">
        <v>10294300</v>
      </c>
      <c r="R39">
        <f xml:space="preserve"> (SEDG4[[#This Row],[Close]]-O38)/O38</f>
        <v>6.3408250229622602E-3</v>
      </c>
      <c r="V39">
        <f xml:space="preserve"> X39/(2*ENPH[[#This Row],[Close]])</f>
        <v>2155.9244143926949</v>
      </c>
      <c r="W39">
        <f xml:space="preserve"> X39/(2*SEDG4[[#This Row],[Close]])</f>
        <v>1411.4829831844525</v>
      </c>
      <c r="X39">
        <f t="shared" si="46"/>
        <v>815413.73632345395</v>
      </c>
      <c r="Y39">
        <f t="shared" si="23"/>
        <v>-1.4576194594154016E-3</v>
      </c>
      <c r="Z39">
        <f xml:space="preserve"> V39*ENPH[[#This Row],[Close]]</f>
        <v>407706.86816172698</v>
      </c>
      <c r="AA39">
        <f xml:space="preserve"> W39*SEDG4[[#This Row],[Close]]</f>
        <v>407706.86816172698</v>
      </c>
      <c r="AB39">
        <f t="shared" si="1"/>
        <v>815413.73632345395</v>
      </c>
      <c r="AC39" t="b">
        <f t="shared" si="2"/>
        <v>1</v>
      </c>
      <c r="AE39">
        <v>35</v>
      </c>
      <c r="AF39">
        <f t="shared" si="3"/>
        <v>261922.41210099982</v>
      </c>
      <c r="AG39">
        <f t="shared" si="4"/>
        <v>344775.42001049977</v>
      </c>
      <c r="AH39">
        <f t="shared" si="5"/>
        <v>374174.87442999973</v>
      </c>
      <c r="AJ39">
        <v>35</v>
      </c>
      <c r="AK39">
        <f t="shared" si="6"/>
        <v>235089.70986222132</v>
      </c>
      <c r="AL39">
        <f t="shared" si="7"/>
        <v>309454.82216557703</v>
      </c>
      <c r="AM39">
        <f t="shared" si="8"/>
        <v>335842.44266031618</v>
      </c>
      <c r="AO39">
        <v>35</v>
      </c>
      <c r="AP39">
        <f t="shared" si="9"/>
        <v>478141.47743890039</v>
      </c>
      <c r="AQ39">
        <f t="shared" si="10"/>
        <v>629390.3121389607</v>
      </c>
      <c r="AR39">
        <f t="shared" si="11"/>
        <v>683059.25348414341</v>
      </c>
      <c r="AT39">
        <f t="shared" si="12"/>
        <v>497012.12196322111</v>
      </c>
      <c r="AU39" t="b">
        <f t="shared" si="13"/>
        <v>0</v>
      </c>
      <c r="AV39">
        <f t="shared" si="14"/>
        <v>654230.24217607686</v>
      </c>
      <c r="AW39" t="b">
        <f t="shared" si="15"/>
        <v>0</v>
      </c>
      <c r="AX39">
        <f t="shared" si="16"/>
        <v>710017.31709031598</v>
      </c>
      <c r="AY39" t="b">
        <f t="shared" si="17"/>
        <v>0</v>
      </c>
      <c r="BA39">
        <v>35</v>
      </c>
      <c r="BB39">
        <f t="shared" si="18"/>
        <v>-6.2944522276391192E-3</v>
      </c>
      <c r="BC39">
        <f t="shared" si="19"/>
        <v>-1.2104872477039834E-2</v>
      </c>
      <c r="BD39">
        <f t="shared" si="20"/>
        <v>-9.1960366798347348E-3</v>
      </c>
      <c r="BG39">
        <v>34</v>
      </c>
      <c r="BH39">
        <f t="shared" si="24"/>
        <v>42377.21361134827</v>
      </c>
      <c r="BI39">
        <f t="shared" si="25"/>
        <v>55782.250570040072</v>
      </c>
      <c r="BJ39">
        <f t="shared" si="26"/>
        <v>60538.876587640385</v>
      </c>
      <c r="BL39">
        <v>34</v>
      </c>
      <c r="BM39">
        <f t="shared" si="27"/>
        <v>29693.878207095895</v>
      </c>
      <c r="BN39">
        <f t="shared" si="28"/>
        <v>39086.839680769088</v>
      </c>
      <c r="BO39">
        <f t="shared" si="29"/>
        <v>42419.826010136989</v>
      </c>
      <c r="BQ39">
        <v>34</v>
      </c>
      <c r="BR39">
        <f t="shared" si="30"/>
        <v>67069.862868913086</v>
      </c>
      <c r="BS39">
        <f t="shared" si="31"/>
        <v>88285.839898875405</v>
      </c>
      <c r="BT39">
        <f t="shared" si="32"/>
        <v>95814.089812732986</v>
      </c>
      <c r="BV39" t="b">
        <f t="shared" si="33"/>
        <v>0</v>
      </c>
      <c r="BW39" t="b">
        <f t="shared" si="34"/>
        <v>0</v>
      </c>
      <c r="BX39" t="b">
        <f t="shared" si="35"/>
        <v>0</v>
      </c>
      <c r="CB39">
        <v>-9.117133588143542E-3</v>
      </c>
      <c r="CC39">
        <v>34</v>
      </c>
      <c r="CD39">
        <v>-2.8217073392878756E-2</v>
      </c>
      <c r="CG39">
        <v>6.3408250229622602E-3</v>
      </c>
      <c r="CH39">
        <v>-2.3739491798190061E-2</v>
      </c>
      <c r="CK39">
        <v>-1.4576194594154016E-3</v>
      </c>
      <c r="CL39">
        <v>-2.2594361741803921E-2</v>
      </c>
      <c r="CP39">
        <v>34</v>
      </c>
      <c r="CQ39">
        <f t="shared" si="36"/>
        <v>188468.39425895025</v>
      </c>
      <c r="CR39">
        <f t="shared" si="37"/>
        <v>323960.83295092656</v>
      </c>
      <c r="CS39">
        <f t="shared" si="38"/>
        <v>350138.5084127399</v>
      </c>
      <c r="CT39">
        <f t="shared" si="39"/>
        <v>172337.13734352973</v>
      </c>
      <c r="CU39">
        <f t="shared" si="47"/>
        <v>276088.8195058541</v>
      </c>
      <c r="CV39">
        <f t="shared" si="48"/>
        <v>293321.30041690753</v>
      </c>
      <c r="CW39">
        <f t="shared" si="43"/>
        <v>333619.6028101283</v>
      </c>
      <c r="CX39">
        <f t="shared" si="44"/>
        <v>566385.63246591121</v>
      </c>
      <c r="CY39">
        <f t="shared" si="45"/>
        <v>612061.23734281561</v>
      </c>
      <c r="DB39" t="b">
        <f t="shared" si="40"/>
        <v>0</v>
      </c>
      <c r="DC39" t="b">
        <f t="shared" si="41"/>
        <v>0</v>
      </c>
      <c r="DD39" t="b">
        <f t="shared" si="42"/>
        <v>0</v>
      </c>
    </row>
    <row r="40" spans="1:108" x14ac:dyDescent="0.25">
      <c r="A40" s="1">
        <v>44550</v>
      </c>
      <c r="B40">
        <v>179.679993</v>
      </c>
      <c r="C40">
        <v>185.63000500000001</v>
      </c>
      <c r="D40">
        <v>175.050003</v>
      </c>
      <c r="E40">
        <v>178.729996</v>
      </c>
      <c r="F40">
        <v>178.729996</v>
      </c>
      <c r="G40">
        <v>3834800</v>
      </c>
      <c r="H40">
        <f xml:space="preserve"> (ENPH[[#This Row],[Close]]-E39)/E39</f>
        <v>-5.4888715272123606E-2</v>
      </c>
      <c r="K40" s="1">
        <v>44550</v>
      </c>
      <c r="L40">
        <v>268.73001099999999</v>
      </c>
      <c r="M40">
        <v>273.69000199999999</v>
      </c>
      <c r="N40">
        <v>257.32000699999998</v>
      </c>
      <c r="O40">
        <v>258.35998499999999</v>
      </c>
      <c r="P40">
        <v>258.35998499999999</v>
      </c>
      <c r="Q40">
        <v>2312900</v>
      </c>
      <c r="R40">
        <f xml:space="preserve"> (SEDG4[[#This Row],[Close]]-O39)/O39</f>
        <v>-0.10555658773294266</v>
      </c>
      <c r="V40">
        <f xml:space="preserve"> X40/(2*ENPH[[#This Row],[Close]])</f>
        <v>2098.2064612333279</v>
      </c>
      <c r="W40">
        <f xml:space="preserve"> X40/(2*SEDG4[[#This Row],[Close]])</f>
        <v>1451.5112795946588</v>
      </c>
      <c r="X40">
        <f t="shared" si="46"/>
        <v>750024.86484681373</v>
      </c>
      <c r="Y40">
        <f t="shared" si="23"/>
        <v>-8.0191035009376049E-2</v>
      </c>
      <c r="Z40">
        <f xml:space="preserve"> V40*ENPH[[#This Row],[Close]]</f>
        <v>375012.43242340686</v>
      </c>
      <c r="AA40">
        <f xml:space="preserve"> W40*SEDG4[[#This Row],[Close]]</f>
        <v>375012.43242340686</v>
      </c>
      <c r="AB40">
        <f t="shared" si="1"/>
        <v>750024.86484681373</v>
      </c>
      <c r="AC40" t="b">
        <f t="shared" si="2"/>
        <v>1</v>
      </c>
      <c r="AE40">
        <v>36</v>
      </c>
      <c r="AF40">
        <f t="shared" si="3"/>
        <v>265637.80919509905</v>
      </c>
      <c r="AG40">
        <f t="shared" si="4"/>
        <v>349666.09577722219</v>
      </c>
      <c r="AH40">
        <f t="shared" si="5"/>
        <v>379482.58456442715</v>
      </c>
      <c r="AJ40">
        <v>36</v>
      </c>
      <c r="AK40">
        <f t="shared" si="6"/>
        <v>238424.48223953863</v>
      </c>
      <c r="AL40">
        <f t="shared" si="7"/>
        <v>313844.47151939268</v>
      </c>
      <c r="AM40">
        <f t="shared" si="8"/>
        <v>340606.40319934086</v>
      </c>
      <c r="AO40">
        <v>36</v>
      </c>
      <c r="AP40">
        <f t="shared" si="9"/>
        <v>484923.9648235988</v>
      </c>
      <c r="AQ40">
        <f t="shared" si="10"/>
        <v>638318.2802269822</v>
      </c>
      <c r="AR40">
        <f t="shared" si="11"/>
        <v>692748.52117656975</v>
      </c>
      <c r="AT40">
        <f t="shared" si="12"/>
        <v>504062.29143463768</v>
      </c>
      <c r="AU40" t="b">
        <f t="shared" si="13"/>
        <v>0</v>
      </c>
      <c r="AV40">
        <f t="shared" si="14"/>
        <v>663510.56729661487</v>
      </c>
      <c r="AW40" t="b">
        <f t="shared" si="15"/>
        <v>0</v>
      </c>
      <c r="AX40">
        <f t="shared" si="16"/>
        <v>720088.98776376806</v>
      </c>
      <c r="AY40" t="b">
        <f t="shared" si="17"/>
        <v>0</v>
      </c>
      <c r="BA40">
        <v>36</v>
      </c>
      <c r="BB40">
        <f t="shared" si="18"/>
        <v>6.1940669710182309E-3</v>
      </c>
      <c r="BC40">
        <f t="shared" si="19"/>
        <v>9.487861586030228E-3</v>
      </c>
      <c r="BD40">
        <f t="shared" si="20"/>
        <v>7.793549193962755E-3</v>
      </c>
      <c r="BG40">
        <v>35</v>
      </c>
      <c r="BH40">
        <f t="shared" si="24"/>
        <v>42995.891791153736</v>
      </c>
      <c r="BI40">
        <f t="shared" si="25"/>
        <v>56596.633072028897</v>
      </c>
      <c r="BJ40">
        <f t="shared" si="26"/>
        <v>61422.702558791047</v>
      </c>
      <c r="BL40">
        <v>35</v>
      </c>
      <c r="BM40">
        <f t="shared" si="27"/>
        <v>30127.388411164895</v>
      </c>
      <c r="BN40">
        <f t="shared" si="28"/>
        <v>39657.480663676244</v>
      </c>
      <c r="BO40">
        <f t="shared" si="29"/>
        <v>43039.126301664131</v>
      </c>
      <c r="BQ40">
        <v>35</v>
      </c>
      <c r="BR40">
        <f t="shared" si="30"/>
        <v>68049.036749010513</v>
      </c>
      <c r="BS40">
        <f t="shared" si="31"/>
        <v>89574.752455330163</v>
      </c>
      <c r="BT40">
        <f t="shared" si="32"/>
        <v>97212.909641443577</v>
      </c>
      <c r="BV40" t="b">
        <f t="shared" si="33"/>
        <v>0</v>
      </c>
      <c r="BW40" t="b">
        <f t="shared" si="34"/>
        <v>0</v>
      </c>
      <c r="BX40" t="b">
        <f t="shared" si="35"/>
        <v>0</v>
      </c>
      <c r="CB40">
        <v>-5.4888715272123606E-2</v>
      </c>
      <c r="CC40">
        <v>35</v>
      </c>
      <c r="CD40">
        <v>-2.7461998797035182E-2</v>
      </c>
      <c r="CG40">
        <v>-0.10555658773294266</v>
      </c>
      <c r="CH40">
        <v>-2.2327352808252345E-2</v>
      </c>
      <c r="CK40">
        <v>-8.0191035009376049E-2</v>
      </c>
      <c r="CL40">
        <v>-2.1759720053692286E-2</v>
      </c>
      <c r="CP40">
        <v>35</v>
      </c>
      <c r="CQ40">
        <f t="shared" si="36"/>
        <v>191219.9032227147</v>
      </c>
      <c r="CR40">
        <f t="shared" si="37"/>
        <v>328690.4383538799</v>
      </c>
      <c r="CS40">
        <f t="shared" si="38"/>
        <v>355250.28987745097</v>
      </c>
      <c r="CT40">
        <f t="shared" si="39"/>
        <v>174853.14104831382</v>
      </c>
      <c r="CU40">
        <f t="shared" si="47"/>
        <v>280119.52642969915</v>
      </c>
      <c r="CV40">
        <f t="shared" si="48"/>
        <v>297603.58971285849</v>
      </c>
      <c r="CW40">
        <f t="shared" si="43"/>
        <v>338490.21961157647</v>
      </c>
      <c r="CX40">
        <f t="shared" si="44"/>
        <v>574654.47324849956</v>
      </c>
      <c r="CY40">
        <f t="shared" si="45"/>
        <v>620996.91054968559</v>
      </c>
      <c r="DB40" t="b">
        <f t="shared" si="40"/>
        <v>0</v>
      </c>
      <c r="DC40" t="b">
        <f t="shared" si="41"/>
        <v>0</v>
      </c>
      <c r="DD40" t="b">
        <f t="shared" si="42"/>
        <v>0</v>
      </c>
    </row>
    <row r="41" spans="1:108" x14ac:dyDescent="0.25">
      <c r="A41" s="1">
        <v>44551</v>
      </c>
      <c r="B41">
        <v>181.83000200000001</v>
      </c>
      <c r="C41">
        <v>189.529999</v>
      </c>
      <c r="D41">
        <v>180</v>
      </c>
      <c r="E41">
        <v>189</v>
      </c>
      <c r="F41">
        <v>189</v>
      </c>
      <c r="G41">
        <v>2088400</v>
      </c>
      <c r="H41">
        <f xml:space="preserve"> (ENPH[[#This Row],[Close]]-E40)/E40</f>
        <v>5.7460998320617657E-2</v>
      </c>
      <c r="K41" s="1">
        <v>44551</v>
      </c>
      <c r="L41">
        <v>265.45001200000002</v>
      </c>
      <c r="M41">
        <v>283.42001299999998</v>
      </c>
      <c r="N41">
        <v>265.45001200000002</v>
      </c>
      <c r="O41">
        <v>281.10000600000001</v>
      </c>
      <c r="P41">
        <v>281.10000600000001</v>
      </c>
      <c r="Q41">
        <v>1301500</v>
      </c>
      <c r="R41">
        <f xml:space="preserve"> (SEDG4[[#This Row],[Close]]-O40)/O40</f>
        <v>8.8016807246679526E-2</v>
      </c>
      <c r="V41">
        <f xml:space="preserve"> X41/(2*ENPH[[#This Row],[Close]])</f>
        <v>2127.6480030374792</v>
      </c>
      <c r="W41">
        <f xml:space="preserve"> X41/(2*SEDG4[[#This Row],[Close]])</f>
        <v>1430.5423834607943</v>
      </c>
      <c r="X41">
        <f t="shared" si="46"/>
        <v>804250.9451481672</v>
      </c>
      <c r="Y41">
        <f t="shared" si="23"/>
        <v>7.229904346228401E-2</v>
      </c>
      <c r="Z41">
        <f xml:space="preserve"> V41*ENPH[[#This Row],[Close]]</f>
        <v>402125.47257408354</v>
      </c>
      <c r="AA41">
        <f xml:space="preserve"> W41*SEDG4[[#This Row],[Close]]</f>
        <v>402125.4725740836</v>
      </c>
      <c r="AB41">
        <f t="shared" si="1"/>
        <v>804250.9451481672</v>
      </c>
      <c r="AC41" t="b">
        <f t="shared" si="2"/>
        <v>1</v>
      </c>
      <c r="AE41">
        <v>37</v>
      </c>
      <c r="AF41">
        <f t="shared" si="3"/>
        <v>269301.952067076</v>
      </c>
      <c r="AG41">
        <f t="shared" si="4"/>
        <v>354489.30425155925</v>
      </c>
      <c r="AH41">
        <f t="shared" si="5"/>
        <v>384717.07438153715</v>
      </c>
      <c r="AJ41">
        <v>37</v>
      </c>
      <c r="AK41">
        <f t="shared" si="6"/>
        <v>241713.25114540313</v>
      </c>
      <c r="AL41">
        <f t="shared" si="7"/>
        <v>318173.56528323476</v>
      </c>
      <c r="AM41">
        <f t="shared" si="8"/>
        <v>345304.64449343306</v>
      </c>
      <c r="AO41">
        <v>37</v>
      </c>
      <c r="AP41">
        <f t="shared" si="9"/>
        <v>491612.88721210643</v>
      </c>
      <c r="AQ41">
        <f t="shared" si="10"/>
        <v>647123.08622818091</v>
      </c>
      <c r="AR41">
        <f t="shared" si="11"/>
        <v>702304.12458872341</v>
      </c>
      <c r="AT41">
        <f t="shared" si="12"/>
        <v>511015.20321247913</v>
      </c>
      <c r="AU41" t="b">
        <f t="shared" si="13"/>
        <v>0</v>
      </c>
      <c r="AV41">
        <f t="shared" si="14"/>
        <v>672662.86953479401</v>
      </c>
      <c r="AW41" t="b">
        <f t="shared" si="15"/>
        <v>0</v>
      </c>
      <c r="AX41">
        <f t="shared" si="16"/>
        <v>730021.71887497022</v>
      </c>
      <c r="AY41" t="b">
        <f t="shared" si="17"/>
        <v>0</v>
      </c>
      <c r="BA41">
        <v>37</v>
      </c>
      <c r="BB41">
        <f t="shared" si="18"/>
        <v>1.7692343022922453E-4</v>
      </c>
      <c r="BC41">
        <f t="shared" si="19"/>
        <v>1.0489705953628029E-3</v>
      </c>
      <c r="BD41">
        <f t="shared" si="20"/>
        <v>6.0660088090161435E-4</v>
      </c>
      <c r="BG41">
        <v>36</v>
      </c>
      <c r="BH41">
        <f t="shared" si="24"/>
        <v>43605.793059768577</v>
      </c>
      <c r="BI41">
        <f t="shared" si="25"/>
        <v>57399.462292960678</v>
      </c>
      <c r="BJ41">
        <f t="shared" si="26"/>
        <v>62293.990085383673</v>
      </c>
      <c r="BL41">
        <v>36</v>
      </c>
      <c r="BM41">
        <f t="shared" si="27"/>
        <v>30554.748599465536</v>
      </c>
      <c r="BN41">
        <f t="shared" si="28"/>
        <v>40220.026217663821</v>
      </c>
      <c r="BO41">
        <f t="shared" si="29"/>
        <v>43649.640856379337</v>
      </c>
      <c r="BQ41">
        <v>36</v>
      </c>
      <c r="BR41">
        <f t="shared" si="30"/>
        <v>69014.319526324107</v>
      </c>
      <c r="BS41">
        <f t="shared" si="31"/>
        <v>90845.379784651115</v>
      </c>
      <c r="BT41">
        <f t="shared" si="32"/>
        <v>98591.885037605854</v>
      </c>
      <c r="BV41" t="b">
        <f t="shared" si="33"/>
        <v>0</v>
      </c>
      <c r="BW41" t="b">
        <f t="shared" si="34"/>
        <v>0</v>
      </c>
      <c r="BX41" t="b">
        <f t="shared" si="35"/>
        <v>0</v>
      </c>
      <c r="CB41">
        <v>5.7460998320617657E-2</v>
      </c>
      <c r="CC41">
        <v>36</v>
      </c>
      <c r="CD41">
        <v>-2.6138410016149322E-2</v>
      </c>
      <c r="CG41">
        <v>8.8016807246679526E-2</v>
      </c>
      <c r="CH41">
        <v>-2.1258076388985445E-2</v>
      </c>
      <c r="CK41">
        <v>7.229904346228401E-2</v>
      </c>
      <c r="CL41">
        <v>-2.1097697887915649E-2</v>
      </c>
      <c r="CP41">
        <v>36</v>
      </c>
      <c r="CQ41">
        <f t="shared" si="36"/>
        <v>193932.37775694299</v>
      </c>
      <c r="CR41">
        <f t="shared" si="37"/>
        <v>333352.94695603533</v>
      </c>
      <c r="CS41">
        <f t="shared" si="38"/>
        <v>360289.55278015987</v>
      </c>
      <c r="CT41">
        <f t="shared" si="39"/>
        <v>177333.45133155343</v>
      </c>
      <c r="CU41">
        <f t="shared" si="47"/>
        <v>284093.05151351687</v>
      </c>
      <c r="CV41">
        <f t="shared" si="48"/>
        <v>301825.12808196258</v>
      </c>
      <c r="CW41">
        <f t="shared" si="43"/>
        <v>343291.73914645659</v>
      </c>
      <c r="CX41">
        <f t="shared" si="44"/>
        <v>582806.00767769269</v>
      </c>
      <c r="CY41">
        <f t="shared" si="45"/>
        <v>629805.81734919699</v>
      </c>
      <c r="DB41" t="b">
        <f t="shared" si="40"/>
        <v>0</v>
      </c>
      <c r="DC41" t="b">
        <f t="shared" si="41"/>
        <v>0</v>
      </c>
      <c r="DD41" t="b">
        <f t="shared" si="42"/>
        <v>0</v>
      </c>
    </row>
    <row r="42" spans="1:108" x14ac:dyDescent="0.25">
      <c r="A42" s="1">
        <v>44552</v>
      </c>
      <c r="B42">
        <v>186.729996</v>
      </c>
      <c r="C42">
        <v>191.30999800000001</v>
      </c>
      <c r="D42">
        <v>185.490005</v>
      </c>
      <c r="E42">
        <v>189.33000200000001</v>
      </c>
      <c r="F42">
        <v>189.33000200000001</v>
      </c>
      <c r="G42">
        <v>1378500</v>
      </c>
      <c r="H42">
        <f xml:space="preserve"> (ENPH[[#This Row],[Close]]-E41)/E41</f>
        <v>1.7460423280423675E-3</v>
      </c>
      <c r="K42" s="1">
        <v>44552</v>
      </c>
      <c r="L42">
        <v>280.5</v>
      </c>
      <c r="M42">
        <v>286.20001200000002</v>
      </c>
      <c r="N42">
        <v>276.790009</v>
      </c>
      <c r="O42">
        <v>284.01001000000002</v>
      </c>
      <c r="P42">
        <v>284.01001000000002</v>
      </c>
      <c r="Q42">
        <v>621900</v>
      </c>
      <c r="R42">
        <f xml:space="preserve"> (SEDG4[[#This Row],[Close]]-O41)/O41</f>
        <v>1.0352201842357894E-2</v>
      </c>
      <c r="V42">
        <f xml:space="preserve"> X42/(2*ENPH[[#This Row],[Close]])</f>
        <v>2136.6544630318094</v>
      </c>
      <c r="W42">
        <f xml:space="preserve"> X42/(2*SEDG4[[#This Row],[Close]])</f>
        <v>1424.3610419193374</v>
      </c>
      <c r="X42">
        <f t="shared" si="46"/>
        <v>809065.58751824289</v>
      </c>
      <c r="Y42">
        <f t="shared" si="23"/>
        <v>5.9864926477502418E-3</v>
      </c>
      <c r="Z42">
        <f xml:space="preserve"> V42*ENPH[[#This Row],[Close]]</f>
        <v>404532.79375912144</v>
      </c>
      <c r="AA42">
        <f xml:space="preserve"> W42*SEDG4[[#This Row],[Close]]</f>
        <v>404532.79375912144</v>
      </c>
      <c r="AB42">
        <f t="shared" si="1"/>
        <v>809065.58751824289</v>
      </c>
      <c r="AC42" t="b">
        <f t="shared" si="2"/>
        <v>1</v>
      </c>
      <c r="AE42">
        <v>38</v>
      </c>
      <c r="AF42">
        <f t="shared" si="3"/>
        <v>272916.90512004489</v>
      </c>
      <c r="AG42">
        <f t="shared" si="4"/>
        <v>359247.76286209992</v>
      </c>
      <c r="AH42">
        <f t="shared" si="5"/>
        <v>389881.29302863555</v>
      </c>
      <c r="AJ42">
        <v>38</v>
      </c>
      <c r="AK42">
        <f t="shared" si="6"/>
        <v>244957.8694946733</v>
      </c>
      <c r="AL42">
        <f t="shared" si="7"/>
        <v>322444.54249809036</v>
      </c>
      <c r="AM42">
        <f t="shared" si="8"/>
        <v>349939.81356381899</v>
      </c>
      <c r="AO42">
        <v>38</v>
      </c>
      <c r="AP42">
        <f t="shared" si="9"/>
        <v>498212.01318897126</v>
      </c>
      <c r="AQ42">
        <f t="shared" si="10"/>
        <v>655809.69083038054</v>
      </c>
      <c r="AR42">
        <f t="shared" si="11"/>
        <v>711731.44741281611</v>
      </c>
      <c r="AT42">
        <f t="shared" si="12"/>
        <v>517874.77461471816</v>
      </c>
      <c r="AU42" t="b">
        <f t="shared" si="13"/>
        <v>0</v>
      </c>
      <c r="AV42">
        <f t="shared" si="14"/>
        <v>681692.30536019034</v>
      </c>
      <c r="AW42" t="b">
        <f t="shared" si="15"/>
        <v>0</v>
      </c>
      <c r="AX42">
        <f t="shared" si="16"/>
        <v>739821.10659245448</v>
      </c>
      <c r="AY42" t="b">
        <f t="shared" si="17"/>
        <v>0</v>
      </c>
      <c r="BA42">
        <v>38</v>
      </c>
      <c r="BB42">
        <f t="shared" si="18"/>
        <v>-5.8357742596496464E-4</v>
      </c>
      <c r="BC42">
        <f t="shared" si="19"/>
        <v>-2.4146705717479269E-4</v>
      </c>
      <c r="BD42">
        <f t="shared" si="20"/>
        <v>-4.142803458261243E-4</v>
      </c>
      <c r="BG42">
        <v>37</v>
      </c>
      <c r="BH42">
        <f t="shared" si="24"/>
        <v>44207.280687983075</v>
      </c>
      <c r="BI42">
        <f t="shared" si="25"/>
        <v>58191.216415814451</v>
      </c>
      <c r="BJ42">
        <f t="shared" si="26"/>
        <v>63153.258125690103</v>
      </c>
      <c r="BL42">
        <v>37</v>
      </c>
      <c r="BM42">
        <f t="shared" si="27"/>
        <v>30976.213317251826</v>
      </c>
      <c r="BN42">
        <f t="shared" si="28"/>
        <v>40774.811407402914</v>
      </c>
      <c r="BO42">
        <f t="shared" si="29"/>
        <v>44251.733310359748</v>
      </c>
      <c r="BQ42">
        <v>37</v>
      </c>
      <c r="BR42">
        <f t="shared" si="30"/>
        <v>69966.28614479216</v>
      </c>
      <c r="BS42">
        <f t="shared" si="31"/>
        <v>92098.478700797859</v>
      </c>
      <c r="BT42">
        <f t="shared" si="32"/>
        <v>99951.837349703084</v>
      </c>
      <c r="BV42" t="b">
        <f t="shared" si="33"/>
        <v>0</v>
      </c>
      <c r="BW42" t="b">
        <f t="shared" si="34"/>
        <v>0</v>
      </c>
      <c r="BX42" t="b">
        <f t="shared" si="35"/>
        <v>0</v>
      </c>
      <c r="CB42">
        <v>1.7460423280423675E-3</v>
      </c>
      <c r="CC42">
        <v>37</v>
      </c>
      <c r="CD42">
        <v>-2.4725462191882357E-2</v>
      </c>
      <c r="CG42">
        <v>1.0352201842357894E-2</v>
      </c>
      <c r="CH42">
        <v>-2.0322137038587849E-2</v>
      </c>
      <c r="CK42">
        <v>5.9864926477502418E-3</v>
      </c>
      <c r="CL42">
        <v>-2.1025299650614952E-2</v>
      </c>
      <c r="CP42">
        <v>37</v>
      </c>
      <c r="CQ42">
        <f t="shared" si="36"/>
        <v>196607.43347192879</v>
      </c>
      <c r="CR42">
        <f t="shared" si="37"/>
        <v>337951.13585144363</v>
      </c>
      <c r="CS42">
        <f t="shared" si="38"/>
        <v>365259.29861817654</v>
      </c>
      <c r="CT42">
        <f t="shared" si="39"/>
        <v>179779.54552133934</v>
      </c>
      <c r="CU42">
        <f t="shared" si="47"/>
        <v>288011.76147741702</v>
      </c>
      <c r="CV42">
        <f t="shared" si="48"/>
        <v>305988.42996657046</v>
      </c>
      <c r="CW42">
        <f t="shared" si="43"/>
        <v>348027.02130682941</v>
      </c>
      <c r="CX42">
        <f t="shared" si="44"/>
        <v>590845.09098909434</v>
      </c>
      <c r="CY42">
        <f t="shared" si="45"/>
        <v>638493.20452258992</v>
      </c>
      <c r="DB42" t="b">
        <f t="shared" si="40"/>
        <v>0</v>
      </c>
      <c r="DC42" t="b">
        <f t="shared" si="41"/>
        <v>0</v>
      </c>
      <c r="DD42" t="b">
        <f t="shared" si="42"/>
        <v>0</v>
      </c>
    </row>
    <row r="43" spans="1:108" x14ac:dyDescent="0.25">
      <c r="A43" s="1">
        <v>44553</v>
      </c>
      <c r="B43">
        <v>190.490005</v>
      </c>
      <c r="C43">
        <v>191.28999300000001</v>
      </c>
      <c r="D43">
        <v>186.58999600000001</v>
      </c>
      <c r="E43">
        <v>188.16999799999999</v>
      </c>
      <c r="F43">
        <v>188.16999799999999</v>
      </c>
      <c r="G43">
        <v>1250500</v>
      </c>
      <c r="H43">
        <f xml:space="preserve"> (ENPH[[#This Row],[Close]]-E42)/E42</f>
        <v>-6.1268894931930272E-3</v>
      </c>
      <c r="K43" s="1">
        <v>44553</v>
      </c>
      <c r="L43">
        <v>286.97000100000002</v>
      </c>
      <c r="M43">
        <v>289.58999599999999</v>
      </c>
      <c r="N43">
        <v>280.47000100000002</v>
      </c>
      <c r="O43">
        <v>283.290009</v>
      </c>
      <c r="P43">
        <v>283.290009</v>
      </c>
      <c r="Q43">
        <v>400800</v>
      </c>
      <c r="R43">
        <f xml:space="preserve"> (SEDG4[[#This Row],[Close]]-O42)/O42</f>
        <v>-2.5351254344874135E-3</v>
      </c>
      <c r="V43">
        <f xml:space="preserve"> X43/(2*ENPH[[#This Row],[Close]])</f>
        <v>2140.4756156562189</v>
      </c>
      <c r="W43">
        <f xml:space="preserve"> X43/(2*SEDG4[[#This Row],[Close]])</f>
        <v>1421.7701984579326</v>
      </c>
      <c r="X43">
        <f t="shared" si="46"/>
        <v>805546.58463415899</v>
      </c>
      <c r="Y43">
        <f t="shared" si="23"/>
        <v>-4.3494655295848268E-3</v>
      </c>
      <c r="Z43">
        <f xml:space="preserve"> V43*ENPH[[#This Row],[Close]]</f>
        <v>402773.29231707944</v>
      </c>
      <c r="AA43">
        <f xml:space="preserve"> W43*SEDG4[[#This Row],[Close]]</f>
        <v>402773.2923170795</v>
      </c>
      <c r="AB43">
        <f t="shared" si="1"/>
        <v>805546.58463415899</v>
      </c>
      <c r="AC43" t="b">
        <f t="shared" si="2"/>
        <v>1</v>
      </c>
      <c r="AE43">
        <v>39</v>
      </c>
      <c r="AF43">
        <f t="shared" si="3"/>
        <v>276484.5977870549</v>
      </c>
      <c r="AG43">
        <f t="shared" si="4"/>
        <v>363944.01137275592</v>
      </c>
      <c r="AH43">
        <f t="shared" si="5"/>
        <v>394977.99683864979</v>
      </c>
      <c r="AJ43">
        <v>39</v>
      </c>
      <c r="AK43">
        <f t="shared" si="6"/>
        <v>248160.06905918219</v>
      </c>
      <c r="AL43">
        <f t="shared" si="7"/>
        <v>326659.68274116842</v>
      </c>
      <c r="AM43">
        <f t="shared" si="8"/>
        <v>354514.38437026023</v>
      </c>
      <c r="AO43">
        <v>39</v>
      </c>
      <c r="AP43">
        <f t="shared" si="9"/>
        <v>504724.86494979827</v>
      </c>
      <c r="AQ43">
        <f t="shared" si="10"/>
        <v>664382.73039310181</v>
      </c>
      <c r="AR43">
        <f t="shared" si="11"/>
        <v>721035.5213568547</v>
      </c>
      <c r="AT43">
        <f t="shared" si="12"/>
        <v>524644.66684623715</v>
      </c>
      <c r="AU43" t="b">
        <f t="shared" si="13"/>
        <v>0</v>
      </c>
      <c r="AV43">
        <f t="shared" si="14"/>
        <v>690603.6941139244</v>
      </c>
      <c r="AW43" t="b">
        <f t="shared" si="15"/>
        <v>0</v>
      </c>
      <c r="AX43">
        <f t="shared" si="16"/>
        <v>749492.38120891002</v>
      </c>
      <c r="AY43" t="b">
        <f t="shared" si="17"/>
        <v>0</v>
      </c>
      <c r="BA43">
        <v>39</v>
      </c>
      <c r="BB43">
        <f t="shared" si="18"/>
        <v>2.474244391177735E-4</v>
      </c>
      <c r="BC43">
        <f t="shared" si="19"/>
        <v>7.3007327007960845E-4</v>
      </c>
      <c r="BD43">
        <f t="shared" si="20"/>
        <v>4.8670376101617353E-4</v>
      </c>
      <c r="BG43">
        <v>38</v>
      </c>
      <c r="BH43">
        <f t="shared" si="24"/>
        <v>44800.693558034131</v>
      </c>
      <c r="BI43">
        <f t="shared" si="25"/>
        <v>58972.341520269416</v>
      </c>
      <c r="BJ43">
        <f t="shared" si="26"/>
        <v>64000.990797191611</v>
      </c>
      <c r="BL43">
        <v>38</v>
      </c>
      <c r="BM43">
        <f t="shared" si="27"/>
        <v>31392.020020623677</v>
      </c>
      <c r="BN43">
        <f t="shared" si="28"/>
        <v>41322.148802657699</v>
      </c>
      <c r="BO43">
        <f t="shared" si="29"/>
        <v>44845.742886605251</v>
      </c>
      <c r="BQ43">
        <v>38</v>
      </c>
      <c r="BR43">
        <f t="shared" si="30"/>
        <v>70905.472948907933</v>
      </c>
      <c r="BS43">
        <f t="shared" si="31"/>
        <v>93334.755208256363</v>
      </c>
      <c r="BT43">
        <f t="shared" si="32"/>
        <v>101293.53278415417</v>
      </c>
      <c r="BV43" t="b">
        <f t="shared" si="33"/>
        <v>0</v>
      </c>
      <c r="BW43" t="b">
        <f t="shared" si="34"/>
        <v>0</v>
      </c>
      <c r="BX43" t="b">
        <f t="shared" si="35"/>
        <v>0</v>
      </c>
      <c r="CB43">
        <v>-6.1268894931930272E-3</v>
      </c>
      <c r="CC43">
        <v>38</v>
      </c>
      <c r="CD43">
        <v>-2.3921344266953897E-2</v>
      </c>
      <c r="CG43">
        <v>-2.5351254344874135E-3</v>
      </c>
      <c r="CH43">
        <v>-2.0230101874662124E-2</v>
      </c>
      <c r="CK43">
        <v>-4.3494655295848268E-3</v>
      </c>
      <c r="CL43">
        <v>-1.9604735933508463E-2</v>
      </c>
      <c r="CP43">
        <v>38</v>
      </c>
      <c r="CQ43">
        <f t="shared" si="36"/>
        <v>199246.57751232811</v>
      </c>
      <c r="CR43">
        <f t="shared" si="37"/>
        <v>342487.59569112642</v>
      </c>
      <c r="CS43">
        <f t="shared" si="38"/>
        <v>370162.32738024124</v>
      </c>
      <c r="CT43">
        <f t="shared" si="39"/>
        <v>182192.80176384089</v>
      </c>
      <c r="CU43">
        <f t="shared" si="47"/>
        <v>291877.86414935166</v>
      </c>
      <c r="CV43">
        <f t="shared" si="48"/>
        <v>310095.8409993925</v>
      </c>
      <c r="CW43">
        <f t="shared" si="43"/>
        <v>352698.7339829983</v>
      </c>
      <c r="CX43">
        <f t="shared" si="44"/>
        <v>598776.25245713559</v>
      </c>
      <c r="CY43">
        <f t="shared" si="45"/>
        <v>647063.96660311846</v>
      </c>
      <c r="DB43" t="b">
        <f t="shared" si="40"/>
        <v>0</v>
      </c>
      <c r="DC43" t="b">
        <f t="shared" si="41"/>
        <v>0</v>
      </c>
      <c r="DD43" t="b">
        <f t="shared" si="42"/>
        <v>0</v>
      </c>
    </row>
    <row r="44" spans="1:108" x14ac:dyDescent="0.25">
      <c r="A44" s="1">
        <v>44557</v>
      </c>
      <c r="B44">
        <v>189.89999399999999</v>
      </c>
      <c r="C44">
        <v>191</v>
      </c>
      <c r="D44">
        <v>184.63000500000001</v>
      </c>
      <c r="E44">
        <v>188.69000199999999</v>
      </c>
      <c r="F44">
        <v>188.69000199999999</v>
      </c>
      <c r="G44">
        <v>1272500</v>
      </c>
      <c r="H44">
        <f xml:space="preserve"> (ENPH[[#This Row],[Close]]-E43)/E43</f>
        <v>2.7634798614389108E-3</v>
      </c>
      <c r="K44" s="1">
        <v>44557</v>
      </c>
      <c r="L44">
        <v>283.85000600000001</v>
      </c>
      <c r="M44">
        <v>287.55499300000002</v>
      </c>
      <c r="N44">
        <v>279.01001000000002</v>
      </c>
      <c r="O44">
        <v>285.60000600000001</v>
      </c>
      <c r="P44">
        <v>285.60000600000001</v>
      </c>
      <c r="Q44">
        <v>514400</v>
      </c>
      <c r="R44">
        <f xml:space="preserve"> (SEDG4[[#This Row],[Close]]-O43)/O43</f>
        <v>8.1541774387109064E-3</v>
      </c>
      <c r="V44">
        <f xml:space="preserve"> X44/(2*ENPH[[#This Row],[Close]])</f>
        <v>2146.1802873387924</v>
      </c>
      <c r="W44">
        <f xml:space="preserve"> X44/(2*SEDG4[[#This Row],[Close]])</f>
        <v>1417.9368144352115</v>
      </c>
      <c r="X44">
        <f t="shared" si="46"/>
        <v>809925.52542063466</v>
      </c>
      <c r="Y44">
        <f t="shared" si="23"/>
        <v>5.435987030426517E-3</v>
      </c>
      <c r="Z44">
        <f xml:space="preserve"> V44*ENPH[[#This Row],[Close]]</f>
        <v>404962.76271031727</v>
      </c>
      <c r="AA44">
        <f xml:space="preserve"> W44*SEDG4[[#This Row],[Close]]</f>
        <v>404962.76271031733</v>
      </c>
      <c r="AB44">
        <f t="shared" si="1"/>
        <v>809925.52542063454</v>
      </c>
      <c r="AC44" t="b">
        <f t="shared" si="2"/>
        <v>1</v>
      </c>
      <c r="AE44">
        <v>40</v>
      </c>
      <c r="AF44">
        <f t="shared" si="3"/>
        <v>280006.83657124412</v>
      </c>
      <c r="AG44">
        <f t="shared" si="4"/>
        <v>368580.42773153563</v>
      </c>
      <c r="AH44">
        <f t="shared" si="5"/>
        <v>400009.76653034869</v>
      </c>
      <c r="AJ44">
        <v>40</v>
      </c>
      <c r="AK44">
        <f t="shared" si="6"/>
        <v>251321.47127443517</v>
      </c>
      <c r="AL44">
        <f t="shared" si="7"/>
        <v>330821.12035104225</v>
      </c>
      <c r="AM44">
        <f t="shared" si="8"/>
        <v>359030.67324919306</v>
      </c>
      <c r="AO44">
        <v>40</v>
      </c>
      <c r="AP44">
        <f t="shared" si="9"/>
        <v>511154.74028064788</v>
      </c>
      <c r="AQ44">
        <f t="shared" si="10"/>
        <v>672846.54587962839</v>
      </c>
      <c r="AR44">
        <f t="shared" si="11"/>
        <v>730221.05754378263</v>
      </c>
      <c r="AT44">
        <f t="shared" si="12"/>
        <v>531328.30784567934</v>
      </c>
      <c r="AU44" t="b">
        <f t="shared" si="13"/>
        <v>0</v>
      </c>
      <c r="AV44">
        <f t="shared" si="14"/>
        <v>699401.54808257788</v>
      </c>
      <c r="AW44" t="b">
        <f t="shared" si="15"/>
        <v>0</v>
      </c>
      <c r="AX44">
        <f t="shared" si="16"/>
        <v>759040.43977954169</v>
      </c>
      <c r="AY44" t="b">
        <f t="shared" si="17"/>
        <v>0</v>
      </c>
      <c r="BA44">
        <v>40</v>
      </c>
      <c r="BB44">
        <f t="shared" si="18"/>
        <v>-8.4746332573141798E-4</v>
      </c>
      <c r="BC44">
        <f t="shared" si="19"/>
        <v>-1.9979543522516542E-3</v>
      </c>
      <c r="BD44">
        <f t="shared" si="20"/>
        <v>-1.4193759388362341E-3</v>
      </c>
      <c r="BG44">
        <v>39</v>
      </c>
      <c r="BH44">
        <f t="shared" si="24"/>
        <v>45386.348396138252</v>
      </c>
      <c r="BI44">
        <f t="shared" si="25"/>
        <v>59743.254521447292</v>
      </c>
      <c r="BJ44">
        <f t="shared" si="26"/>
        <v>64837.640565911788</v>
      </c>
      <c r="BL44">
        <v>39</v>
      </c>
      <c r="BM44">
        <f t="shared" si="27"/>
        <v>31802.390640871421</v>
      </c>
      <c r="BN44">
        <f t="shared" si="28"/>
        <v>41862.330537473608</v>
      </c>
      <c r="BO44">
        <f t="shared" si="29"/>
        <v>45431.986629816318</v>
      </c>
      <c r="BQ44">
        <v>39</v>
      </c>
      <c r="BR44">
        <f t="shared" si="30"/>
        <v>71832.381217120259</v>
      </c>
      <c r="BS44">
        <f t="shared" si="31"/>
        <v>94554.869153148102</v>
      </c>
      <c r="BT44">
        <f t="shared" si="32"/>
        <v>102617.68745302894</v>
      </c>
      <c r="BV44" t="b">
        <f t="shared" si="33"/>
        <v>0</v>
      </c>
      <c r="BW44" t="b">
        <f t="shared" si="34"/>
        <v>0</v>
      </c>
      <c r="BX44" t="b">
        <f t="shared" si="35"/>
        <v>0</v>
      </c>
      <c r="CB44">
        <v>2.7634798614389108E-3</v>
      </c>
      <c r="CC44">
        <v>39</v>
      </c>
      <c r="CD44">
        <v>-2.3800761997394403E-2</v>
      </c>
      <c r="CG44">
        <v>8.1541774387109064E-3</v>
      </c>
      <c r="CH44">
        <v>-2.0127949840565349E-2</v>
      </c>
      <c r="CK44">
        <v>5.435987030426517E-3</v>
      </c>
      <c r="CL44">
        <v>-1.9313285670492147E-2</v>
      </c>
      <c r="CP44">
        <v>39</v>
      </c>
      <c r="CQ44">
        <f t="shared" si="36"/>
        <v>201851.21848612517</v>
      </c>
      <c r="CR44">
        <f t="shared" si="37"/>
        <v>346964.74775010807</v>
      </c>
      <c r="CS44">
        <f t="shared" si="38"/>
        <v>375001.25599265873</v>
      </c>
      <c r="CT44">
        <f t="shared" si="39"/>
        <v>184574.50810243847</v>
      </c>
      <c r="CU44">
        <f t="shared" si="47"/>
        <v>295693.42301013431</v>
      </c>
      <c r="CV44">
        <f t="shared" si="48"/>
        <v>314149.55345636606</v>
      </c>
      <c r="CW44">
        <f t="shared" si="43"/>
        <v>357309.37063938775</v>
      </c>
      <c r="CX44">
        <f t="shared" si="44"/>
        <v>606603.7252336255</v>
      </c>
      <c r="CY44">
        <f t="shared" si="45"/>
        <v>655522.67812090041</v>
      </c>
      <c r="DB44" t="b">
        <f t="shared" si="40"/>
        <v>0</v>
      </c>
      <c r="DC44" t="b">
        <f t="shared" si="41"/>
        <v>0</v>
      </c>
      <c r="DD44" t="b">
        <f t="shared" si="42"/>
        <v>0</v>
      </c>
    </row>
    <row r="45" spans="1:108" x14ac:dyDescent="0.25">
      <c r="A45" s="1">
        <v>44558</v>
      </c>
      <c r="B45">
        <v>190.470001</v>
      </c>
      <c r="C45">
        <v>190.83000200000001</v>
      </c>
      <c r="D45">
        <v>184.66999799999999</v>
      </c>
      <c r="E45">
        <v>186.78999300000001</v>
      </c>
      <c r="F45">
        <v>186.78999300000001</v>
      </c>
      <c r="G45">
        <v>1193100</v>
      </c>
      <c r="H45">
        <f xml:space="preserve"> (ENPH[[#This Row],[Close]]-E44)/E44</f>
        <v>-1.0069473633266393E-2</v>
      </c>
      <c r="K45" s="1">
        <v>44558</v>
      </c>
      <c r="L45">
        <v>287.04998799999998</v>
      </c>
      <c r="M45">
        <v>287.5</v>
      </c>
      <c r="N45">
        <v>277.85000600000001</v>
      </c>
      <c r="O45">
        <v>278.82000699999998</v>
      </c>
      <c r="P45">
        <v>278.82000699999998</v>
      </c>
      <c r="Q45">
        <v>332800</v>
      </c>
      <c r="R45">
        <f xml:space="preserve"> (SEDG4[[#This Row],[Close]]-O44)/O44</f>
        <v>-2.3739491798190061E-2</v>
      </c>
      <c r="V45">
        <f xml:space="preserve"> X45/(2*ENPH[[#This Row],[Close]])</f>
        <v>2131.4477681469571</v>
      </c>
      <c r="W45">
        <f xml:space="preserve"> X45/(2*SEDG4[[#This Row],[Close]])</f>
        <v>1427.9216114216504</v>
      </c>
      <c r="X45">
        <f t="shared" si="46"/>
        <v>796266.22738407156</v>
      </c>
      <c r="Y45">
        <f t="shared" si="23"/>
        <v>-1.6864881532742335E-2</v>
      </c>
      <c r="Z45">
        <f xml:space="preserve"> V45*ENPH[[#This Row],[Close]]</f>
        <v>398133.11369203572</v>
      </c>
      <c r="AA45">
        <f xml:space="preserve"> W45*SEDG4[[#This Row],[Close]]</f>
        <v>398133.11369203578</v>
      </c>
      <c r="AB45">
        <f t="shared" si="1"/>
        <v>796266.22738407156</v>
      </c>
      <c r="AC45" t="b">
        <f t="shared" si="2"/>
        <v>1</v>
      </c>
      <c r="AE45">
        <v>41</v>
      </c>
      <c r="AF45">
        <f t="shared" si="3"/>
        <v>283485.31573928351</v>
      </c>
      <c r="AG45">
        <f t="shared" si="4"/>
        <v>373159.2421466079</v>
      </c>
      <c r="AH45">
        <f t="shared" si="5"/>
        <v>404979.02248469071</v>
      </c>
      <c r="AJ45">
        <v>41</v>
      </c>
      <c r="AK45">
        <f t="shared" si="6"/>
        <v>254443.59683756123</v>
      </c>
      <c r="AL45">
        <f t="shared" si="7"/>
        <v>334930.85706168774</v>
      </c>
      <c r="AM45">
        <f t="shared" si="8"/>
        <v>363490.85262508749</v>
      </c>
      <c r="AO45">
        <v>41</v>
      </c>
      <c r="AP45">
        <f t="shared" si="9"/>
        <v>517504.73207900324</v>
      </c>
      <c r="AQ45">
        <f t="shared" si="10"/>
        <v>681205.20855297369</v>
      </c>
      <c r="AR45">
        <f t="shared" si="11"/>
        <v>739292.47439857596</v>
      </c>
      <c r="AT45">
        <f t="shared" si="12"/>
        <v>537928.91257684468</v>
      </c>
      <c r="AU45" t="b">
        <f t="shared" si="13"/>
        <v>0</v>
      </c>
      <c r="AV45">
        <f t="shared" si="14"/>
        <v>708090.09920829558</v>
      </c>
      <c r="AW45" t="b">
        <f t="shared" si="15"/>
        <v>0</v>
      </c>
      <c r="AX45">
        <f t="shared" si="16"/>
        <v>768469.87510977825</v>
      </c>
      <c r="AY45" t="b">
        <f t="shared" si="17"/>
        <v>0</v>
      </c>
      <c r="BA45">
        <v>41</v>
      </c>
      <c r="BB45">
        <f t="shared" si="18"/>
        <v>-5.5906163574457441E-4</v>
      </c>
      <c r="BC45">
        <f t="shared" si="19"/>
        <v>-2.2131535822854885E-4</v>
      </c>
      <c r="BD45">
        <f t="shared" si="20"/>
        <v>-3.9234093694711085E-4</v>
      </c>
      <c r="BG45">
        <v>40</v>
      </c>
      <c r="BH45">
        <f t="shared" si="24"/>
        <v>45964.541748943841</v>
      </c>
      <c r="BI45">
        <f t="shared" si="25"/>
        <v>60504.345771568944</v>
      </c>
      <c r="BJ45">
        <f t="shared" si="26"/>
        <v>65663.631069919778</v>
      </c>
      <c r="BL45">
        <v>40</v>
      </c>
      <c r="BM45">
        <f t="shared" si="27"/>
        <v>32207.532969383647</v>
      </c>
      <c r="BN45">
        <f t="shared" si="28"/>
        <v>42395.63013316827</v>
      </c>
      <c r="BO45">
        <f t="shared" si="29"/>
        <v>46010.761384833779</v>
      </c>
      <c r="BQ45">
        <v>40</v>
      </c>
      <c r="BR45">
        <f t="shared" si="30"/>
        <v>72747.480289939034</v>
      </c>
      <c r="BS45">
        <f t="shared" si="31"/>
        <v>95759.438340838125</v>
      </c>
      <c r="BT45">
        <f t="shared" si="32"/>
        <v>103924.97184277004</v>
      </c>
      <c r="BV45" t="b">
        <f t="shared" si="33"/>
        <v>0</v>
      </c>
      <c r="BW45" t="b">
        <f t="shared" si="34"/>
        <v>0</v>
      </c>
      <c r="BX45" t="b">
        <f t="shared" si="35"/>
        <v>0</v>
      </c>
      <c r="CB45">
        <v>-1.0069473633266393E-2</v>
      </c>
      <c r="CC45">
        <v>40</v>
      </c>
      <c r="CD45">
        <v>-2.2149036547964268E-2</v>
      </c>
      <c r="CG45">
        <v>-2.3739491798190061E-2</v>
      </c>
      <c r="CH45">
        <v>-1.9742912646463988E-2</v>
      </c>
      <c r="CK45">
        <v>-1.6864881532742335E-2</v>
      </c>
      <c r="CL45">
        <v>-1.9051709752885816E-2</v>
      </c>
      <c r="CP45">
        <v>40</v>
      </c>
      <c r="CQ45">
        <f t="shared" si="36"/>
        <v>204422.67525470533</v>
      </c>
      <c r="CR45">
        <f t="shared" si="37"/>
        <v>351384.85903678846</v>
      </c>
      <c r="CS45">
        <f t="shared" si="38"/>
        <v>379778.53464958532</v>
      </c>
      <c r="CT45">
        <f t="shared" si="39"/>
        <v>186925.87051544266</v>
      </c>
      <c r="CU45">
        <f t="shared" si="47"/>
        <v>299460.37007008633</v>
      </c>
      <c r="CV45">
        <f t="shared" si="48"/>
        <v>318151.61993701669</v>
      </c>
      <c r="CW45">
        <f t="shared" si="43"/>
        <v>361861.26587439678</v>
      </c>
      <c r="CX45">
        <f t="shared" si="44"/>
        <v>614331.47276369634</v>
      </c>
      <c r="CY45">
        <f t="shared" si="45"/>
        <v>663873.62214915082</v>
      </c>
      <c r="DB45" t="b">
        <f t="shared" si="40"/>
        <v>0</v>
      </c>
      <c r="DC45" t="b">
        <f t="shared" si="41"/>
        <v>0</v>
      </c>
      <c r="DD45" t="b">
        <f t="shared" si="42"/>
        <v>0</v>
      </c>
    </row>
    <row r="46" spans="1:108" x14ac:dyDescent="0.25">
      <c r="A46" s="1">
        <v>44559</v>
      </c>
      <c r="B46">
        <v>186.53999300000001</v>
      </c>
      <c r="C46">
        <v>187.729996</v>
      </c>
      <c r="D46">
        <v>181.14999399999999</v>
      </c>
      <c r="E46">
        <v>185.470001</v>
      </c>
      <c r="F46">
        <v>185.470001</v>
      </c>
      <c r="G46">
        <v>1102600</v>
      </c>
      <c r="H46">
        <f xml:space="preserve"> (ENPH[[#This Row],[Close]]-E45)/E45</f>
        <v>-7.0667168984797453E-3</v>
      </c>
      <c r="K46" s="1">
        <v>44559</v>
      </c>
      <c r="L46">
        <v>279.72000100000002</v>
      </c>
      <c r="M46">
        <v>280.540009</v>
      </c>
      <c r="N46">
        <v>272.27999899999998</v>
      </c>
      <c r="O46">
        <v>278.040009</v>
      </c>
      <c r="P46">
        <v>278.040009</v>
      </c>
      <c r="Q46">
        <v>318400</v>
      </c>
      <c r="R46">
        <f xml:space="preserve"> (SEDG4[[#This Row],[Close]]-O45)/O45</f>
        <v>-2.7974965225503988E-3</v>
      </c>
      <c r="V46">
        <f xml:space="preserve"> X46/(2*ENPH[[#This Row],[Close]])</f>
        <v>2135.9715551701547</v>
      </c>
      <c r="W46">
        <f xml:space="preserve"> X46/(2*SEDG4[[#This Row],[Close]])</f>
        <v>1424.8260453529915</v>
      </c>
      <c r="X46">
        <f t="shared" si="46"/>
        <v>792317.29294676031</v>
      </c>
      <c r="Y46">
        <f t="shared" si="23"/>
        <v>-4.9593142362504379E-3</v>
      </c>
      <c r="Z46">
        <f xml:space="preserve"> V46*ENPH[[#This Row],[Close]]</f>
        <v>396158.64647338015</v>
      </c>
      <c r="AA46">
        <f xml:space="preserve"> W46*SEDG4[[#This Row],[Close]]</f>
        <v>396158.64647338015</v>
      </c>
      <c r="AB46">
        <f t="shared" si="1"/>
        <v>792317.29294676031</v>
      </c>
      <c r="AC46" t="b">
        <f t="shared" si="2"/>
        <v>1</v>
      </c>
      <c r="AE46">
        <v>42</v>
      </c>
      <c r="AF46">
        <f t="shared" si="3"/>
        <v>286921.62684776331</v>
      </c>
      <c r="AG46">
        <f t="shared" si="4"/>
        <v>377682.54962613742</v>
      </c>
      <c r="AH46">
        <f t="shared" si="5"/>
        <v>409888.03835394757</v>
      </c>
      <c r="AJ46">
        <v>42</v>
      </c>
      <c r="AK46">
        <f t="shared" si="6"/>
        <v>257527.8742577667</v>
      </c>
      <c r="AL46">
        <f t="shared" si="7"/>
        <v>338990.7732576725</v>
      </c>
      <c r="AM46">
        <f t="shared" si="8"/>
        <v>367896.96322538098</v>
      </c>
      <c r="AO46">
        <v>42</v>
      </c>
      <c r="AP46">
        <f t="shared" si="9"/>
        <v>523777.74574426631</v>
      </c>
      <c r="AQ46">
        <f t="shared" si="10"/>
        <v>689462.54286745272</v>
      </c>
      <c r="AR46">
        <f t="shared" si="11"/>
        <v>748253.922491809</v>
      </c>
      <c r="AT46">
        <f t="shared" si="12"/>
        <v>544449.50110552995</v>
      </c>
      <c r="AU46" t="b">
        <f t="shared" si="13"/>
        <v>0</v>
      </c>
      <c r="AV46">
        <f t="shared" si="14"/>
        <v>716673.32288380992</v>
      </c>
      <c r="AW46" t="b">
        <f t="shared" si="15"/>
        <v>0</v>
      </c>
      <c r="AX46">
        <f t="shared" si="16"/>
        <v>777785.00157932856</v>
      </c>
      <c r="AY46" t="b">
        <f t="shared" si="17"/>
        <v>0</v>
      </c>
      <c r="BA46">
        <v>42</v>
      </c>
      <c r="BB46">
        <f t="shared" si="18"/>
        <v>3.7689937434832001E-4</v>
      </c>
      <c r="BC46">
        <f t="shared" si="19"/>
        <v>1.1527616637861486E-3</v>
      </c>
      <c r="BD46">
        <f t="shared" si="20"/>
        <v>7.6071806166089727E-4</v>
      </c>
      <c r="BG46">
        <v>41</v>
      </c>
      <c r="BH46">
        <f t="shared" si="24"/>
        <v>46535.551738914204</v>
      </c>
      <c r="BI46">
        <f t="shared" si="25"/>
        <v>61255.98137061156</v>
      </c>
      <c r="BJ46">
        <f t="shared" si="26"/>
        <v>66479.359627020298</v>
      </c>
      <c r="BL46">
        <v>41</v>
      </c>
      <c r="BM46">
        <f t="shared" si="27"/>
        <v>32607.641887650861</v>
      </c>
      <c r="BN46">
        <f t="shared" si="28"/>
        <v>42922.304117417974</v>
      </c>
      <c r="BO46">
        <f t="shared" si="29"/>
        <v>46582.345553786945</v>
      </c>
      <c r="BQ46">
        <v>41</v>
      </c>
      <c r="BR46">
        <f t="shared" si="30"/>
        <v>73651.210348156819</v>
      </c>
      <c r="BS46">
        <f t="shared" si="31"/>
        <v>96949.042192981942</v>
      </c>
      <c r="BT46">
        <f t="shared" si="32"/>
        <v>105216.01478308118</v>
      </c>
      <c r="BV46" t="b">
        <f t="shared" si="33"/>
        <v>0</v>
      </c>
      <c r="BW46" t="b">
        <f t="shared" si="34"/>
        <v>0</v>
      </c>
      <c r="BX46" t="b">
        <f t="shared" si="35"/>
        <v>0</v>
      </c>
      <c r="CB46">
        <v>-7.0667168984797453E-3</v>
      </c>
      <c r="CC46">
        <v>41</v>
      </c>
      <c r="CD46">
        <v>-2.0369986258996921E-2</v>
      </c>
      <c r="CG46">
        <v>-2.7974965225503988E-3</v>
      </c>
      <c r="CH46">
        <v>-1.7683751342283501E-2</v>
      </c>
      <c r="CK46">
        <v>-4.9593142362504379E-3</v>
      </c>
      <c r="CL46">
        <v>-1.9033787743428621E-2</v>
      </c>
      <c r="CP46">
        <v>41</v>
      </c>
      <c r="CQ46">
        <f t="shared" si="36"/>
        <v>206962.18473974412</v>
      </c>
      <c r="CR46">
        <f t="shared" si="37"/>
        <v>355750.05571230943</v>
      </c>
      <c r="CS46">
        <f t="shared" si="38"/>
        <v>384496.46131674718</v>
      </c>
      <c r="CT46">
        <f t="shared" si="39"/>
        <v>189248.02005478137</v>
      </c>
      <c r="CU46">
        <f t="shared" si="47"/>
        <v>303180.51730540977</v>
      </c>
      <c r="CV46">
        <f t="shared" si="48"/>
        <v>322103.96551464807</v>
      </c>
      <c r="CW46">
        <f t="shared" si="43"/>
        <v>366356.60923985852</v>
      </c>
      <c r="CX46">
        <f t="shared" si="44"/>
        <v>621963.21224708483</v>
      </c>
      <c r="CY46">
        <f t="shared" si="45"/>
        <v>672120.8156574748</v>
      </c>
      <c r="DB46" t="b">
        <f t="shared" si="40"/>
        <v>0</v>
      </c>
      <c r="DC46" t="b">
        <f t="shared" si="41"/>
        <v>0</v>
      </c>
      <c r="DD46" t="b">
        <f t="shared" si="42"/>
        <v>0</v>
      </c>
    </row>
    <row r="47" spans="1:108" x14ac:dyDescent="0.25">
      <c r="A47" s="1">
        <v>44560</v>
      </c>
      <c r="B47">
        <v>185.75</v>
      </c>
      <c r="C47">
        <v>189.520004</v>
      </c>
      <c r="D47">
        <v>183.10000600000001</v>
      </c>
      <c r="E47">
        <v>186.41000399999999</v>
      </c>
      <c r="F47">
        <v>186.41000399999999</v>
      </c>
      <c r="G47">
        <v>1204700</v>
      </c>
      <c r="H47">
        <f xml:space="preserve"> (ENPH[[#This Row],[Close]]-E46)/E46</f>
        <v>5.068221248351587E-3</v>
      </c>
      <c r="K47" s="1">
        <v>44560</v>
      </c>
      <c r="L47">
        <v>279.64001500000001</v>
      </c>
      <c r="M47">
        <v>286.67999300000002</v>
      </c>
      <c r="N47">
        <v>276.30499300000002</v>
      </c>
      <c r="O47">
        <v>282.35000600000001</v>
      </c>
      <c r="P47">
        <v>282.35000600000001</v>
      </c>
      <c r="Q47">
        <v>329800</v>
      </c>
      <c r="R47">
        <f xml:space="preserve"> (SEDG4[[#This Row],[Close]]-O46)/O46</f>
        <v>1.5501355418241301E-2</v>
      </c>
      <c r="V47">
        <f xml:space="preserve"> X47/(2*ENPH[[#This Row],[Close]])</f>
        <v>2146.9402811730865</v>
      </c>
      <c r="W47">
        <f xml:space="preserve"> X47/(2*SEDG4[[#This Row],[Close]])</f>
        <v>1417.4292116049617</v>
      </c>
      <c r="X47">
        <f t="shared" si="46"/>
        <v>800422.29280247237</v>
      </c>
      <c r="Y47">
        <f t="shared" si="23"/>
        <v>1.0229487514488303E-2</v>
      </c>
      <c r="Z47">
        <f xml:space="preserve"> V47*ENPH[[#This Row],[Close]]</f>
        <v>400211.14640123618</v>
      </c>
      <c r="AA47">
        <f xml:space="preserve"> W47*SEDG4[[#This Row],[Close]]</f>
        <v>400211.14640123618</v>
      </c>
      <c r="AB47">
        <f t="shared" si="1"/>
        <v>800422.29280247237</v>
      </c>
      <c r="AC47" t="b">
        <f t="shared" si="2"/>
        <v>1</v>
      </c>
      <c r="AE47">
        <v>43</v>
      </c>
      <c r="AF47">
        <f t="shared" si="3"/>
        <v>290317.26725452108</v>
      </c>
      <c r="AG47">
        <f t="shared" si="4"/>
        <v>382152.32118197164</v>
      </c>
      <c r="AH47">
        <f t="shared" si="5"/>
        <v>414738.95322074438</v>
      </c>
      <c r="AJ47">
        <v>43</v>
      </c>
      <c r="AK47">
        <f t="shared" si="6"/>
        <v>260575.64749571812</v>
      </c>
      <c r="AL47">
        <f t="shared" si="7"/>
        <v>343002.63803007797</v>
      </c>
      <c r="AM47">
        <f t="shared" si="8"/>
        <v>372250.924993883</v>
      </c>
      <c r="AO47">
        <v>43</v>
      </c>
      <c r="AP47">
        <f t="shared" si="9"/>
        <v>529976.51471525582</v>
      </c>
      <c r="AQ47">
        <f t="shared" si="10"/>
        <v>697622.14692110207</v>
      </c>
      <c r="AR47">
        <f t="shared" si="11"/>
        <v>757109.30673607974</v>
      </c>
      <c r="AT47">
        <f t="shared" si="12"/>
        <v>550892.91475023923</v>
      </c>
      <c r="AU47" t="b">
        <f t="shared" si="13"/>
        <v>0</v>
      </c>
      <c r="AV47">
        <f t="shared" si="14"/>
        <v>725154.95921204961</v>
      </c>
      <c r="AW47" t="b">
        <f t="shared" si="15"/>
        <v>0</v>
      </c>
      <c r="AX47">
        <f t="shared" si="16"/>
        <v>786989.87821462739</v>
      </c>
      <c r="AY47" t="b">
        <f t="shared" si="17"/>
        <v>0</v>
      </c>
      <c r="BA47">
        <v>43</v>
      </c>
      <c r="BB47">
        <f t="shared" si="18"/>
        <v>-1.3012424243339874E-3</v>
      </c>
      <c r="BC47">
        <f t="shared" si="19"/>
        <v>-4.4068641403464855E-4</v>
      </c>
      <c r="BD47">
        <f t="shared" si="20"/>
        <v>-8.7330419954392868E-4</v>
      </c>
      <c r="BG47">
        <v>42</v>
      </c>
      <c r="BH47">
        <f t="shared" si="24"/>
        <v>47099.639628132209</v>
      </c>
      <c r="BI47">
        <f t="shared" si="25"/>
        <v>61998.50522478627</v>
      </c>
      <c r="BJ47">
        <f t="shared" si="26"/>
        <v>67285.199468760286</v>
      </c>
      <c r="BL47">
        <v>42</v>
      </c>
      <c r="BM47">
        <f t="shared" si="27"/>
        <v>33002.900463029473</v>
      </c>
      <c r="BN47">
        <f t="shared" si="28"/>
        <v>43442.593466640843</v>
      </c>
      <c r="BO47">
        <f t="shared" si="29"/>
        <v>47147.00066147068</v>
      </c>
      <c r="BQ47">
        <v>42</v>
      </c>
      <c r="BR47">
        <f t="shared" si="30"/>
        <v>74543.984887862156</v>
      </c>
      <c r="BS47">
        <f t="shared" si="31"/>
        <v>98124.225005451211</v>
      </c>
      <c r="BT47">
        <f t="shared" si="32"/>
        <v>106491.40698266022</v>
      </c>
      <c r="BV47" t="b">
        <f t="shared" si="33"/>
        <v>0</v>
      </c>
      <c r="BW47" t="b">
        <f t="shared" si="34"/>
        <v>0</v>
      </c>
      <c r="BX47" t="b">
        <f t="shared" si="35"/>
        <v>0</v>
      </c>
      <c r="CB47">
        <v>5.068221248351587E-3</v>
      </c>
      <c r="CC47">
        <v>42</v>
      </c>
      <c r="CD47">
        <v>-1.9373503230663627E-2</v>
      </c>
      <c r="CG47">
        <v>1.5501355418241301E-2</v>
      </c>
      <c r="CH47">
        <v>-1.7535290918959417E-2</v>
      </c>
      <c r="CK47">
        <v>1.0229487514488303E-2</v>
      </c>
      <c r="CL47">
        <v>-1.8884896848166598E-2</v>
      </c>
      <c r="CP47">
        <v>42</v>
      </c>
      <c r="CQ47">
        <f t="shared" si="36"/>
        <v>209470.90887807129</v>
      </c>
      <c r="CR47">
        <f t="shared" si="37"/>
        <v>360062.33504536253</v>
      </c>
      <c r="CS47">
        <f t="shared" si="38"/>
        <v>389157.19465225819</v>
      </c>
      <c r="CT47">
        <f t="shared" si="39"/>
        <v>191542.01920558797</v>
      </c>
      <c r="CU47">
        <f t="shared" si="47"/>
        <v>306855.56684642157</v>
      </c>
      <c r="CV47">
        <f t="shared" si="48"/>
        <v>326008.39856048999</v>
      </c>
      <c r="CW47">
        <f t="shared" si="43"/>
        <v>370797.45755227603</v>
      </c>
      <c r="CX47">
        <f t="shared" si="44"/>
        <v>629502.43553890451</v>
      </c>
      <c r="CY47">
        <f t="shared" si="45"/>
        <v>680268.03209816129</v>
      </c>
      <c r="DB47" t="b">
        <f t="shared" si="40"/>
        <v>0</v>
      </c>
      <c r="DC47" t="b">
        <f t="shared" si="41"/>
        <v>0</v>
      </c>
      <c r="DD47" t="b">
        <f t="shared" si="42"/>
        <v>0</v>
      </c>
    </row>
    <row r="48" spans="1:108" x14ac:dyDescent="0.25">
      <c r="A48" s="1">
        <v>44561</v>
      </c>
      <c r="B48">
        <v>186.89999399999999</v>
      </c>
      <c r="C48">
        <v>188.429993</v>
      </c>
      <c r="D48">
        <v>182.78999300000001</v>
      </c>
      <c r="E48">
        <v>182.94000199999999</v>
      </c>
      <c r="F48">
        <v>182.94000199999999</v>
      </c>
      <c r="G48">
        <v>1107000</v>
      </c>
      <c r="H48">
        <f xml:space="preserve"> (ENPH[[#This Row],[Close]]-E47)/E47</f>
        <v>-1.8614891505500927E-2</v>
      </c>
      <c r="K48" s="1">
        <v>44561</v>
      </c>
      <c r="L48">
        <v>281.02999899999998</v>
      </c>
      <c r="M48">
        <v>286.5</v>
      </c>
      <c r="N48">
        <v>280.32998700000002</v>
      </c>
      <c r="O48">
        <v>280.57000699999998</v>
      </c>
      <c r="P48">
        <v>280.57000699999998</v>
      </c>
      <c r="Q48">
        <v>199300</v>
      </c>
      <c r="R48">
        <f xml:space="preserve"> (SEDG4[[#This Row],[Close]]-O47)/O47</f>
        <v>-6.3042286600837969E-3</v>
      </c>
      <c r="V48">
        <f xml:space="preserve"> X48/(2*ENPH[[#This Row],[Close]])</f>
        <v>2160.3328496807553</v>
      </c>
      <c r="W48">
        <f xml:space="preserve"> X48/(2*SEDG4[[#This Row],[Close]])</f>
        <v>1408.6013685748781</v>
      </c>
      <c r="X48">
        <f t="shared" si="46"/>
        <v>790422.59168252617</v>
      </c>
      <c r="Y48">
        <f t="shared" si="23"/>
        <v>-1.2493031753194708E-2</v>
      </c>
      <c r="Z48">
        <f xml:space="preserve"> V48*ENPH[[#This Row],[Close]]</f>
        <v>395211.29584126308</v>
      </c>
      <c r="AA48">
        <f xml:space="preserve"> W48*SEDG4[[#This Row],[Close]]</f>
        <v>395211.29584126308</v>
      </c>
      <c r="AB48">
        <f t="shared" si="1"/>
        <v>790422.59168252617</v>
      </c>
      <c r="AC48" t="b">
        <f t="shared" si="2"/>
        <v>1</v>
      </c>
      <c r="AE48">
        <v>44</v>
      </c>
      <c r="AF48">
        <f t="shared" si="3"/>
        <v>293673.64774405432</v>
      </c>
      <c r="AG48">
        <f t="shared" si="4"/>
        <v>386570.4138671736</v>
      </c>
      <c r="AH48">
        <f t="shared" si="5"/>
        <v>419533.78249150619</v>
      </c>
      <c r="AJ48">
        <v>44</v>
      </c>
      <c r="AK48">
        <f t="shared" si="6"/>
        <v>263588.18280776817</v>
      </c>
      <c r="AL48">
        <f t="shared" si="7"/>
        <v>346968.11818573566</v>
      </c>
      <c r="AM48">
        <f t="shared" si="8"/>
        <v>376554.54686824023</v>
      </c>
      <c r="AO48">
        <v>44</v>
      </c>
      <c r="AP48">
        <f t="shared" si="9"/>
        <v>536103.61439045926</v>
      </c>
      <c r="AQ48">
        <f t="shared" si="10"/>
        <v>705687.41077927791</v>
      </c>
      <c r="AR48">
        <f t="shared" si="11"/>
        <v>765862.30627208459</v>
      </c>
      <c r="AT48">
        <f t="shared" si="12"/>
        <v>557261.83055182244</v>
      </c>
      <c r="AU48" t="b">
        <f t="shared" si="13"/>
        <v>0</v>
      </c>
      <c r="AV48">
        <f t="shared" si="14"/>
        <v>733538.53205290926</v>
      </c>
      <c r="AW48" t="b">
        <f t="shared" si="15"/>
        <v>0</v>
      </c>
      <c r="AX48">
        <f t="shared" si="16"/>
        <v>796088.32935974642</v>
      </c>
      <c r="AY48" t="b">
        <f t="shared" si="17"/>
        <v>0</v>
      </c>
      <c r="BA48">
        <v>44</v>
      </c>
      <c r="BB48">
        <f t="shared" si="18"/>
        <v>5.4236591456384485E-4</v>
      </c>
      <c r="BC48">
        <f t="shared" si="19"/>
        <v>4.4029456007157303E-4</v>
      </c>
      <c r="BD48">
        <f t="shared" si="20"/>
        <v>4.912896545267619E-4</v>
      </c>
      <c r="BG48">
        <v>43</v>
      </c>
      <c r="BH48">
        <f t="shared" si="24"/>
        <v>47657.051215477877</v>
      </c>
      <c r="BI48">
        <f t="shared" si="25"/>
        <v>62732.240885680061</v>
      </c>
      <c r="BJ48">
        <f t="shared" si="26"/>
        <v>68081.501736396967</v>
      </c>
      <c r="BL48">
        <v>43</v>
      </c>
      <c r="BM48">
        <f t="shared" si="27"/>
        <v>33393.480927749653</v>
      </c>
      <c r="BN48">
        <f t="shared" si="28"/>
        <v>43956.724894690866</v>
      </c>
      <c r="BO48">
        <f t="shared" si="29"/>
        <v>47704.972753928072</v>
      </c>
      <c r="BQ48">
        <v>43</v>
      </c>
      <c r="BR48">
        <f t="shared" si="30"/>
        <v>75426.192931734244</v>
      </c>
      <c r="BS48">
        <f t="shared" si="31"/>
        <v>99285.498859119572</v>
      </c>
      <c r="BT48">
        <f t="shared" si="32"/>
        <v>107751.70418819178</v>
      </c>
      <c r="BV48" t="b">
        <f t="shared" si="33"/>
        <v>0</v>
      </c>
      <c r="BW48" t="b">
        <f t="shared" si="34"/>
        <v>0</v>
      </c>
      <c r="BX48" t="b">
        <f t="shared" si="35"/>
        <v>0</v>
      </c>
      <c r="CB48">
        <v>-1.8614891505500927E-2</v>
      </c>
      <c r="CC48">
        <v>43</v>
      </c>
      <c r="CD48">
        <v>-1.9161694541823343E-2</v>
      </c>
      <c r="CG48">
        <v>-6.3042286600837969E-3</v>
      </c>
      <c r="CH48">
        <v>-1.6465083652191431E-2</v>
      </c>
      <c r="CK48">
        <v>-1.2493031753194708E-2</v>
      </c>
      <c r="CL48">
        <v>-1.8222815932482393E-2</v>
      </c>
      <c r="CP48">
        <v>43</v>
      </c>
      <c r="CQ48">
        <f t="shared" si="36"/>
        <v>211949.94083547773</v>
      </c>
      <c r="CR48">
        <f t="shared" si="37"/>
        <v>364323.57609318459</v>
      </c>
      <c r="CS48">
        <f t="shared" si="38"/>
        <v>393762.76555069321</v>
      </c>
      <c r="CT48">
        <f t="shared" si="39"/>
        <v>193808.86756816038</v>
      </c>
      <c r="CU48">
        <f t="shared" si="47"/>
        <v>310487.120080208</v>
      </c>
      <c r="CV48">
        <f t="shared" si="48"/>
        <v>329866.62041450781</v>
      </c>
      <c r="CW48">
        <f t="shared" si="43"/>
        <v>375185.74589226791</v>
      </c>
      <c r="CX48">
        <f t="shared" si="44"/>
        <v>636952.42782339163</v>
      </c>
      <c r="CY48">
        <f t="shared" si="45"/>
        <v>688318.82158585556</v>
      </c>
      <c r="DB48" t="b">
        <f t="shared" si="40"/>
        <v>0</v>
      </c>
      <c r="DC48" t="b">
        <f t="shared" si="41"/>
        <v>0</v>
      </c>
      <c r="DD48" t="b">
        <f t="shared" si="42"/>
        <v>0</v>
      </c>
    </row>
    <row r="49" spans="1:108" x14ac:dyDescent="0.25">
      <c r="A49" s="1">
        <v>44564</v>
      </c>
      <c r="B49">
        <v>185.229996</v>
      </c>
      <c r="C49">
        <v>187.58000200000001</v>
      </c>
      <c r="D49">
        <v>180.699997</v>
      </c>
      <c r="E49">
        <v>184.449997</v>
      </c>
      <c r="F49">
        <v>184.449997</v>
      </c>
      <c r="G49">
        <v>1490600</v>
      </c>
      <c r="H49">
        <f xml:space="preserve"> (ENPH[[#This Row],[Close]]-E48)/E48</f>
        <v>8.2540449518525953E-3</v>
      </c>
      <c r="K49" s="1">
        <v>44564</v>
      </c>
      <c r="L49">
        <v>284</v>
      </c>
      <c r="M49">
        <v>285.040009</v>
      </c>
      <c r="N49">
        <v>274.66000400000001</v>
      </c>
      <c r="O49">
        <v>282.45001200000002</v>
      </c>
      <c r="P49">
        <v>282.45001200000002</v>
      </c>
      <c r="Q49">
        <v>572600</v>
      </c>
      <c r="R49">
        <f xml:space="preserve"> (SEDG4[[#This Row],[Close]]-O48)/O48</f>
        <v>6.7006627689895583E-3</v>
      </c>
      <c r="V49">
        <f xml:space="preserve"> X49/(2*ENPH[[#This Row],[Close]])</f>
        <v>2158.6673512513671</v>
      </c>
      <c r="W49">
        <f xml:space="preserve"> X49/(2*SEDG4[[#This Row],[Close]])</f>
        <v>1409.6872704764216</v>
      </c>
      <c r="X49">
        <f t="shared" si="46"/>
        <v>796332.37292462518</v>
      </c>
      <c r="Y49">
        <f t="shared" si="23"/>
        <v>7.4767362475295701E-3</v>
      </c>
      <c r="Z49">
        <f xml:space="preserve"> V49*ENPH[[#This Row],[Close]]</f>
        <v>398166.18646231259</v>
      </c>
      <c r="AA49">
        <f xml:space="preserve"> W49*SEDG4[[#This Row],[Close]]</f>
        <v>398166.18646231259</v>
      </c>
      <c r="AB49">
        <f t="shared" si="1"/>
        <v>796332.37292462518</v>
      </c>
      <c r="AC49" t="b">
        <f t="shared" si="2"/>
        <v>1</v>
      </c>
      <c r="AE49">
        <v>45</v>
      </c>
      <c r="AF49">
        <f t="shared" si="3"/>
        <v>296992.09937718004</v>
      </c>
      <c r="AG49">
        <f t="shared" si="4"/>
        <v>390938.57979241054</v>
      </c>
      <c r="AH49">
        <f t="shared" si="5"/>
        <v>424274.42768168577</v>
      </c>
      <c r="AJ49">
        <v>45</v>
      </c>
      <c r="AK49">
        <f t="shared" si="6"/>
        <v>266566.67489389982</v>
      </c>
      <c r="AL49">
        <f t="shared" si="7"/>
        <v>350888.78633992939</v>
      </c>
      <c r="AM49">
        <f t="shared" si="8"/>
        <v>380809.53556271404</v>
      </c>
      <c r="AO49">
        <v>45</v>
      </c>
      <c r="AP49">
        <f t="shared" si="9"/>
        <v>542161.47463214188</v>
      </c>
      <c r="AQ49">
        <f t="shared" si="10"/>
        <v>713661.532934146</v>
      </c>
      <c r="AR49">
        <f t="shared" si="11"/>
        <v>774516.39233163127</v>
      </c>
      <c r="AT49">
        <f t="shared" si="12"/>
        <v>563558.7742710798</v>
      </c>
      <c r="AU49" t="b">
        <f t="shared" si="13"/>
        <v>0</v>
      </c>
      <c r="AV49">
        <f t="shared" si="14"/>
        <v>741827.36613233993</v>
      </c>
      <c r="AW49" t="b">
        <f t="shared" si="15"/>
        <v>0</v>
      </c>
      <c r="AX49">
        <f t="shared" si="16"/>
        <v>805083.96324439975</v>
      </c>
      <c r="AY49" t="b">
        <f t="shared" si="17"/>
        <v>0</v>
      </c>
      <c r="BA49">
        <v>45</v>
      </c>
      <c r="BB49">
        <f t="shared" si="18"/>
        <v>-2.0661401765761809E-3</v>
      </c>
      <c r="BC49">
        <f t="shared" si="19"/>
        <v>-2.0446722555645448E-3</v>
      </c>
      <c r="BD49">
        <f t="shared" si="20"/>
        <v>-2.0554059556844627E-3</v>
      </c>
      <c r="BG49">
        <v>44</v>
      </c>
      <c r="BH49">
        <f t="shared" si="24"/>
        <v>48208.018088378631</v>
      </c>
      <c r="BI49">
        <f t="shared" si="25"/>
        <v>63457.493197967786</v>
      </c>
      <c r="BJ49">
        <f t="shared" si="26"/>
        <v>68868.597269112317</v>
      </c>
      <c r="BL49">
        <v>44</v>
      </c>
      <c r="BM49">
        <f t="shared" si="27"/>
        <v>33779.54555602144</v>
      </c>
      <c r="BN49">
        <f t="shared" si="28"/>
        <v>44464.91200741598</v>
      </c>
      <c r="BO49">
        <f t="shared" si="29"/>
        <v>48256.493651459197</v>
      </c>
      <c r="BQ49">
        <v>44</v>
      </c>
      <c r="BR49">
        <f t="shared" si="30"/>
        <v>76298.201010171761</v>
      </c>
      <c r="BS49">
        <f t="shared" si="31"/>
        <v>100433.34622767507</v>
      </c>
      <c r="BT49">
        <f t="shared" si="32"/>
        <v>108997.43001453107</v>
      </c>
      <c r="BV49" t="b">
        <f t="shared" si="33"/>
        <v>0</v>
      </c>
      <c r="BW49" t="b">
        <f t="shared" si="34"/>
        <v>0</v>
      </c>
      <c r="BX49" t="b">
        <f t="shared" si="35"/>
        <v>0</v>
      </c>
      <c r="CB49">
        <v>8.2540449518525953E-3</v>
      </c>
      <c r="CC49">
        <v>44</v>
      </c>
      <c r="CD49">
        <v>-1.8714825226300757E-2</v>
      </c>
      <c r="CG49">
        <v>6.7006627689895583E-3</v>
      </c>
      <c r="CH49">
        <v>-1.6335616362623453E-2</v>
      </c>
      <c r="CK49">
        <v>7.4767362475295701E-3</v>
      </c>
      <c r="CL49">
        <v>-1.7962936725814865E-2</v>
      </c>
      <c r="CP49">
        <v>44</v>
      </c>
      <c r="CQ49">
        <f t="shared" si="36"/>
        <v>214400.31057374843</v>
      </c>
      <c r="CR49">
        <f t="shared" si="37"/>
        <v>368535.54927080515</v>
      </c>
      <c r="CS49">
        <f t="shared" si="38"/>
        <v>398315.08748557948</v>
      </c>
      <c r="CT49">
        <f t="shared" si="39"/>
        <v>196049.50694850428</v>
      </c>
      <c r="CU49">
        <f t="shared" si="47"/>
        <v>314076.68580581452</v>
      </c>
      <c r="CV49">
        <f t="shared" si="48"/>
        <v>333680.23404961027</v>
      </c>
      <c r="CW49">
        <f t="shared" si="43"/>
        <v>379523.29745911906</v>
      </c>
      <c r="CX49">
        <f t="shared" si="44"/>
        <v>644316.28434396512</v>
      </c>
      <c r="CY49">
        <f t="shared" si="45"/>
        <v>696276.52897679724</v>
      </c>
      <c r="DB49" t="b">
        <f t="shared" si="40"/>
        <v>0</v>
      </c>
      <c r="DC49" t="b">
        <f t="shared" si="41"/>
        <v>0</v>
      </c>
      <c r="DD49" t="b">
        <f t="shared" si="42"/>
        <v>0</v>
      </c>
    </row>
    <row r="50" spans="1:108" x14ac:dyDescent="0.25">
      <c r="A50" s="1">
        <v>44565</v>
      </c>
      <c r="B50">
        <v>187.58999600000001</v>
      </c>
      <c r="C50">
        <v>188</v>
      </c>
      <c r="D50">
        <v>171.300003</v>
      </c>
      <c r="E50">
        <v>178.279999</v>
      </c>
      <c r="F50">
        <v>178.279999</v>
      </c>
      <c r="G50">
        <v>2484000</v>
      </c>
      <c r="H50">
        <f xml:space="preserve"> (ENPH[[#This Row],[Close]]-E49)/E49</f>
        <v>-3.3450789375724377E-2</v>
      </c>
      <c r="K50" s="1">
        <v>44565</v>
      </c>
      <c r="L50">
        <v>284.5</v>
      </c>
      <c r="M50">
        <v>286.77999899999998</v>
      </c>
      <c r="N50">
        <v>263.25</v>
      </c>
      <c r="O50">
        <v>273.10000600000001</v>
      </c>
      <c r="P50">
        <v>273.10000600000001</v>
      </c>
      <c r="Q50">
        <v>833600</v>
      </c>
      <c r="R50">
        <f xml:space="preserve"> (SEDG4[[#This Row],[Close]]-O49)/O49</f>
        <v>-3.3103223943215861E-2</v>
      </c>
      <c r="V50">
        <f xml:space="preserve"> X50/(2*ENPH[[#This Row],[Close]])</f>
        <v>2159.0554827317324</v>
      </c>
      <c r="W50">
        <f xml:space="preserve"> X50/(2*SEDG4[[#This Row],[Close]])</f>
        <v>1409.4339100906418</v>
      </c>
      <c r="X50">
        <f t="shared" si="46"/>
        <v>769832.81860471552</v>
      </c>
      <c r="Y50">
        <f t="shared" si="23"/>
        <v>-3.3277002443824928E-2</v>
      </c>
      <c r="Z50">
        <f xml:space="preserve"> V50*ENPH[[#This Row],[Close]]</f>
        <v>384916.40930235776</v>
      </c>
      <c r="AA50">
        <f xml:space="preserve"> W50*SEDG4[[#This Row],[Close]]</f>
        <v>384916.40930235776</v>
      </c>
      <c r="AB50">
        <f t="shared" si="1"/>
        <v>769832.81860471552</v>
      </c>
      <c r="AC50" t="b">
        <f t="shared" si="2"/>
        <v>1</v>
      </c>
      <c r="AE50">
        <v>46</v>
      </c>
      <c r="AF50">
        <f t="shared" si="3"/>
        <v>300273.87965927151</v>
      </c>
      <c r="AG50">
        <f t="shared" si="4"/>
        <v>395258.47424536763</v>
      </c>
      <c r="AH50">
        <f t="shared" si="5"/>
        <v>428962.68522753072</v>
      </c>
      <c r="AJ50">
        <v>46</v>
      </c>
      <c r="AK50">
        <f t="shared" si="6"/>
        <v>269512.25243405678</v>
      </c>
      <c r="AL50">
        <f t="shared" si="7"/>
        <v>354766.12820401357</v>
      </c>
      <c r="AM50">
        <f t="shared" si="8"/>
        <v>385017.50347722397</v>
      </c>
      <c r="AO50">
        <v>46</v>
      </c>
      <c r="AP50">
        <f t="shared" si="9"/>
        <v>548152.39102651284</v>
      </c>
      <c r="AQ50">
        <f t="shared" si="10"/>
        <v>721547.53512673627</v>
      </c>
      <c r="AR50">
        <f t="shared" si="11"/>
        <v>783074.8443235897</v>
      </c>
      <c r="AT50">
        <f t="shared" si="12"/>
        <v>569786.13209332828</v>
      </c>
      <c r="AU50" t="b">
        <f t="shared" si="13"/>
        <v>0</v>
      </c>
      <c r="AV50">
        <f t="shared" si="14"/>
        <v>750024.60244938126</v>
      </c>
      <c r="AW50" t="b">
        <f t="shared" si="15"/>
        <v>0</v>
      </c>
      <c r="AX50">
        <f t="shared" si="16"/>
        <v>813980.18870475469</v>
      </c>
      <c r="AY50" t="b">
        <f t="shared" si="17"/>
        <v>0</v>
      </c>
      <c r="BA50">
        <v>46</v>
      </c>
      <c r="BB50">
        <f t="shared" si="18"/>
        <v>-6.8651382955190726E-3</v>
      </c>
      <c r="BC50">
        <f t="shared" si="19"/>
        <v>-4.9514134679089251E-3</v>
      </c>
      <c r="BD50">
        <f t="shared" si="20"/>
        <v>-5.9080806598818432E-3</v>
      </c>
      <c r="BG50">
        <v>45</v>
      </c>
      <c r="BH50">
        <f t="shared" si="24"/>
        <v>48752.758747215543</v>
      </c>
      <c r="BI50">
        <f t="shared" si="25"/>
        <v>64174.549779498011</v>
      </c>
      <c r="BJ50">
        <f t="shared" si="26"/>
        <v>69646.798210307912</v>
      </c>
      <c r="BL50">
        <v>45</v>
      </c>
      <c r="BM50">
        <f t="shared" si="27"/>
        <v>34161.24745191072</v>
      </c>
      <c r="BN50">
        <f t="shared" si="28"/>
        <v>44967.35633976003</v>
      </c>
      <c r="BO50">
        <f t="shared" si="29"/>
        <v>48801.782074158167</v>
      </c>
      <c r="BQ50">
        <v>45</v>
      </c>
      <c r="BR50">
        <f t="shared" si="30"/>
        <v>77160.354940875899</v>
      </c>
      <c r="BS50">
        <f t="shared" si="31"/>
        <v>101568.22232013257</v>
      </c>
      <c r="BT50">
        <f t="shared" si="32"/>
        <v>110229.07848696556</v>
      </c>
      <c r="BV50" t="b">
        <f t="shared" si="33"/>
        <v>0</v>
      </c>
      <c r="BW50" t="b">
        <f t="shared" si="34"/>
        <v>0</v>
      </c>
      <c r="BX50" t="b">
        <f t="shared" si="35"/>
        <v>0</v>
      </c>
      <c r="CB50">
        <v>-3.3450789375724377E-2</v>
      </c>
      <c r="CC50">
        <v>45</v>
      </c>
      <c r="CD50">
        <v>-1.8614891505500927E-2</v>
      </c>
      <c r="CG50">
        <v>-3.3103223943215861E-2</v>
      </c>
      <c r="CH50">
        <v>-1.6224221049815794E-2</v>
      </c>
      <c r="CK50">
        <v>-3.3277002443824928E-2</v>
      </c>
      <c r="CL50">
        <v>-1.7564490244890967E-2</v>
      </c>
      <c r="CP50">
        <v>45</v>
      </c>
      <c r="CQ50">
        <f t="shared" si="36"/>
        <v>216822.98985134638</v>
      </c>
      <c r="CR50">
        <f t="shared" si="37"/>
        <v>372699.92494678835</v>
      </c>
      <c r="CS50">
        <f t="shared" si="38"/>
        <v>402815.96579971793</v>
      </c>
      <c r="CT50">
        <f t="shared" si="39"/>
        <v>198264.82593100204</v>
      </c>
      <c r="CU50">
        <f t="shared" si="47"/>
        <v>317625.6875597866</v>
      </c>
      <c r="CV50">
        <f t="shared" si="48"/>
        <v>337450.75185442454</v>
      </c>
      <c r="CW50">
        <f t="shared" si="43"/>
        <v>383811.83242280129</v>
      </c>
      <c r="CX50">
        <f t="shared" si="44"/>
        <v>651596.92543129274</v>
      </c>
      <c r="CY50">
        <f t="shared" si="45"/>
        <v>704144.31010881043</v>
      </c>
      <c r="DB50" t="b">
        <f t="shared" si="40"/>
        <v>0</v>
      </c>
      <c r="DC50" t="b">
        <f t="shared" si="41"/>
        <v>0</v>
      </c>
      <c r="DD50" t="b">
        <f t="shared" si="42"/>
        <v>0</v>
      </c>
    </row>
    <row r="51" spans="1:108" x14ac:dyDescent="0.25">
      <c r="A51" s="1">
        <v>44566</v>
      </c>
      <c r="B51">
        <v>174.55999800000001</v>
      </c>
      <c r="C51">
        <v>174.85000600000001</v>
      </c>
      <c r="D51">
        <v>156.759995</v>
      </c>
      <c r="E51">
        <v>157.199997</v>
      </c>
      <c r="F51">
        <v>157.199997</v>
      </c>
      <c r="G51">
        <v>4059000</v>
      </c>
      <c r="H51">
        <f xml:space="preserve"> (ENPH[[#This Row],[Close]]-E50)/E50</f>
        <v>-0.11824098114337553</v>
      </c>
      <c r="K51" s="1">
        <v>44566</v>
      </c>
      <c r="L51">
        <v>272.60000600000001</v>
      </c>
      <c r="M51">
        <v>272.60000600000001</v>
      </c>
      <c r="N51">
        <v>249.570007</v>
      </c>
      <c r="O51">
        <v>249.80999800000001</v>
      </c>
      <c r="P51">
        <v>249.80999800000001</v>
      </c>
      <c r="Q51">
        <v>1121100</v>
      </c>
      <c r="R51">
        <f xml:space="preserve"> (SEDG4[[#This Row],[Close]]-O50)/O50</f>
        <v>-8.5280144592893195E-2</v>
      </c>
      <c r="V51">
        <f xml:space="preserve"> X51/(2*ENPH[[#This Row],[Close]])</f>
        <v>2199.4173006935453</v>
      </c>
      <c r="W51">
        <f xml:space="preserve"> X51/(2*SEDG4[[#This Row],[Close]])</f>
        <v>1384.0454579034638</v>
      </c>
      <c r="X51">
        <f t="shared" si="46"/>
        <v>691496.78614154679</v>
      </c>
      <c r="Y51">
        <f t="shared" si="23"/>
        <v>-0.10175720048561838</v>
      </c>
      <c r="Z51">
        <f xml:space="preserve"> V51*ENPH[[#This Row],[Close]]</f>
        <v>345748.3930707734</v>
      </c>
      <c r="AA51">
        <f xml:space="preserve"> W51*SEDG4[[#This Row],[Close]]</f>
        <v>345748.3930707734</v>
      </c>
      <c r="AB51">
        <f t="shared" si="1"/>
        <v>691496.78614154679</v>
      </c>
      <c r="AC51" t="b">
        <f t="shared" si="2"/>
        <v>1</v>
      </c>
      <c r="AE51">
        <v>47</v>
      </c>
      <c r="AF51">
        <f t="shared" si="3"/>
        <v>303520.1781081392</v>
      </c>
      <c r="AG51">
        <f t="shared" si="4"/>
        <v>399531.66301989753</v>
      </c>
      <c r="AH51">
        <f t="shared" si="5"/>
        <v>433600.25444019889</v>
      </c>
      <c r="AJ51">
        <v>47</v>
      </c>
      <c r="AK51">
        <f t="shared" si="6"/>
        <v>272425.98308562161</v>
      </c>
      <c r="AL51">
        <f t="shared" si="7"/>
        <v>358601.54916372645</v>
      </c>
      <c r="AM51">
        <f t="shared" si="8"/>
        <v>389179.97583660233</v>
      </c>
      <c r="AO51">
        <v>47</v>
      </c>
      <c r="AP51">
        <f t="shared" si="9"/>
        <v>554078.53504793649</v>
      </c>
      <c r="AQ51">
        <f t="shared" si="10"/>
        <v>729348.27572636551</v>
      </c>
      <c r="AR51">
        <f t="shared" si="11"/>
        <v>791540.76435419498</v>
      </c>
      <c r="AT51">
        <f t="shared" si="12"/>
        <v>575946.16119376081</v>
      </c>
      <c r="AU51" t="b">
        <f t="shared" si="13"/>
        <v>0</v>
      </c>
      <c r="AV51">
        <f t="shared" si="14"/>
        <v>758133.21218362404</v>
      </c>
      <c r="AW51" t="b">
        <f t="shared" si="15"/>
        <v>0</v>
      </c>
      <c r="AX51">
        <f t="shared" si="16"/>
        <v>822780.23027680116</v>
      </c>
      <c r="AY51" t="b">
        <f t="shared" si="17"/>
        <v>0</v>
      </c>
      <c r="BA51">
        <v>47</v>
      </c>
      <c r="BB51">
        <f t="shared" si="18"/>
        <v>-1.9824036358127481E-3</v>
      </c>
      <c r="BC51">
        <f t="shared" si="19"/>
        <v>-3.4300228983792256E-4</v>
      </c>
      <c r="BD51">
        <f t="shared" si="20"/>
        <v>-1.1474963511450022E-3</v>
      </c>
      <c r="BG51">
        <v>46</v>
      </c>
      <c r="BH51">
        <f t="shared" si="24"/>
        <v>49291.479617870689</v>
      </c>
      <c r="BI51">
        <f t="shared" si="25"/>
        <v>64883.682354135912</v>
      </c>
      <c r="BJ51">
        <f t="shared" si="26"/>
        <v>70416.399454100989</v>
      </c>
      <c r="BL51">
        <v>46</v>
      </c>
      <c r="BM51">
        <f t="shared" si="27"/>
        <v>34538.731258834981</v>
      </c>
      <c r="BN51">
        <f t="shared" si="28"/>
        <v>45464.24828969095</v>
      </c>
      <c r="BO51">
        <f t="shared" si="29"/>
        <v>49341.044655478545</v>
      </c>
      <c r="BQ51">
        <v>46</v>
      </c>
      <c r="BR51">
        <f t="shared" si="30"/>
        <v>78012.981431395936</v>
      </c>
      <c r="BS51">
        <f t="shared" si="31"/>
        <v>102690.55719030689</v>
      </c>
      <c r="BT51">
        <f t="shared" si="32"/>
        <v>111447.11633056561</v>
      </c>
      <c r="BV51" t="b">
        <f t="shared" si="33"/>
        <v>0</v>
      </c>
      <c r="BW51" t="b">
        <f t="shared" si="34"/>
        <v>0</v>
      </c>
      <c r="BX51" t="b">
        <f t="shared" si="35"/>
        <v>0</v>
      </c>
      <c r="CB51">
        <v>-0.11824098114337553</v>
      </c>
      <c r="CC51">
        <v>46</v>
      </c>
      <c r="CD51">
        <v>-1.4620114989733089E-2</v>
      </c>
      <c r="CG51">
        <v>-8.5280144592893195E-2</v>
      </c>
      <c r="CH51">
        <v>-1.5986449205954489E-2</v>
      </c>
      <c r="CK51">
        <v>-0.10175720048561838</v>
      </c>
      <c r="CL51">
        <v>-1.6864881532742335E-2</v>
      </c>
      <c r="CP51">
        <v>46</v>
      </c>
      <c r="CQ51">
        <f t="shared" si="36"/>
        <v>219218.89672661506</v>
      </c>
      <c r="CR51">
        <f t="shared" si="37"/>
        <v>376818.28118384763</v>
      </c>
      <c r="CS51">
        <f t="shared" si="38"/>
        <v>407267.10607127869</v>
      </c>
      <c r="CT51">
        <f t="shared" si="39"/>
        <v>200455.66399618005</v>
      </c>
      <c r="CU51">
        <f t="shared" si="47"/>
        <v>321135.47021294612</v>
      </c>
      <c r="CV51">
        <f t="shared" si="48"/>
        <v>341179.60264181986</v>
      </c>
      <c r="CW51">
        <f t="shared" si="43"/>
        <v>388052.97589537181</v>
      </c>
      <c r="CX51">
        <f t="shared" si="44"/>
        <v>658797.11003632518</v>
      </c>
      <c r="CY51">
        <f t="shared" si="45"/>
        <v>711925.14642569574</v>
      </c>
      <c r="DB51" t="b">
        <f t="shared" si="40"/>
        <v>0</v>
      </c>
      <c r="DC51" t="b">
        <f t="shared" si="41"/>
        <v>0</v>
      </c>
      <c r="DD51" t="b">
        <f t="shared" si="42"/>
        <v>0</v>
      </c>
    </row>
    <row r="52" spans="1:108" x14ac:dyDescent="0.25">
      <c r="A52" s="1">
        <v>44567</v>
      </c>
      <c r="B52">
        <v>156.009995</v>
      </c>
      <c r="C52">
        <v>156.229996</v>
      </c>
      <c r="D52">
        <v>145.820007</v>
      </c>
      <c r="E52">
        <v>151.490005</v>
      </c>
      <c r="F52">
        <v>151.490005</v>
      </c>
      <c r="G52">
        <v>3546200</v>
      </c>
      <c r="H52">
        <f xml:space="preserve"> (ENPH[[#This Row],[Close]]-E51)/E51</f>
        <v>-3.6323105018888774E-2</v>
      </c>
      <c r="K52" s="1">
        <v>44567</v>
      </c>
      <c r="L52">
        <v>249.970001</v>
      </c>
      <c r="M52">
        <v>255.48500100000001</v>
      </c>
      <c r="N52">
        <v>242.020004</v>
      </c>
      <c r="O52">
        <v>248.240005</v>
      </c>
      <c r="P52">
        <v>248.240005</v>
      </c>
      <c r="Q52">
        <v>1195900</v>
      </c>
      <c r="R52">
        <f xml:space="preserve"> (SEDG4[[#This Row],[Close]]-O51)/O51</f>
        <v>-6.2847484591069518E-3</v>
      </c>
      <c r="V52">
        <f xml:space="preserve"> X52/(2*ENPH[[#This Row],[Close]])</f>
        <v>2234.3317600573173</v>
      </c>
      <c r="W52">
        <f xml:space="preserve"> X52/(2*SEDG4[[#This Row],[Close]])</f>
        <v>1363.51483518034</v>
      </c>
      <c r="X52">
        <f t="shared" si="46"/>
        <v>676957.85900548357</v>
      </c>
      <c r="Y52">
        <f t="shared" si="23"/>
        <v>-2.1025299650614952E-2</v>
      </c>
      <c r="Z52">
        <f xml:space="preserve"> V52*ENPH[[#This Row],[Close]]</f>
        <v>338478.92950274178</v>
      </c>
      <c r="AA52">
        <f xml:space="preserve"> W52*SEDG4[[#This Row],[Close]]</f>
        <v>338478.92950274178</v>
      </c>
      <c r="AB52">
        <f t="shared" si="1"/>
        <v>676957.85900548357</v>
      </c>
      <c r="AC52" t="b">
        <f t="shared" si="2"/>
        <v>1</v>
      </c>
      <c r="AE52">
        <v>48</v>
      </c>
      <c r="AF52">
        <f t="shared" si="3"/>
        <v>306732.12129146571</v>
      </c>
      <c r="AG52">
        <f t="shared" si="4"/>
        <v>403759.62904692936</v>
      </c>
      <c r="AH52">
        <f t="shared" si="5"/>
        <v>438188.74470209389</v>
      </c>
      <c r="AJ52">
        <v>48</v>
      </c>
      <c r="AK52">
        <f t="shared" si="6"/>
        <v>275308.87800478953</v>
      </c>
      <c r="AL52">
        <f t="shared" si="7"/>
        <v>362396.38023079437</v>
      </c>
      <c r="AM52">
        <f t="shared" si="8"/>
        <v>393298.39714969927</v>
      </c>
      <c r="AO52">
        <v>48</v>
      </c>
      <c r="AP52">
        <f t="shared" si="9"/>
        <v>559941.96325481066</v>
      </c>
      <c r="AQ52">
        <f t="shared" si="10"/>
        <v>737066.46183541405</v>
      </c>
      <c r="AR52">
        <f t="shared" si="11"/>
        <v>799917.0903640152</v>
      </c>
      <c r="AT52">
        <f t="shared" si="12"/>
        <v>582040.99929625518</v>
      </c>
      <c r="AU52" t="b">
        <f t="shared" si="13"/>
        <v>0</v>
      </c>
      <c r="AV52">
        <f t="shared" si="14"/>
        <v>766156.00927772373</v>
      </c>
      <c r="AW52" t="b">
        <f t="shared" si="15"/>
        <v>0</v>
      </c>
      <c r="AX52">
        <f t="shared" si="16"/>
        <v>831487.14185179316</v>
      </c>
      <c r="AY52" t="b">
        <f t="shared" si="17"/>
        <v>0</v>
      </c>
      <c r="BA52">
        <v>48</v>
      </c>
      <c r="BB52">
        <f t="shared" si="18"/>
        <v>-2.1538234868380799E-3</v>
      </c>
      <c r="BC52">
        <f t="shared" si="19"/>
        <v>1.3846479146748596E-4</v>
      </c>
      <c r="BD52">
        <f t="shared" si="20"/>
        <v>-9.688389487910998E-4</v>
      </c>
      <c r="BG52">
        <v>47</v>
      </c>
      <c r="BH52">
        <f t="shared" si="24"/>
        <v>49824.375965723062</v>
      </c>
      <c r="BI52">
        <f t="shared" si="25"/>
        <v>65585.147954880362</v>
      </c>
      <c r="BJ52">
        <f t="shared" si="26"/>
        <v>71177.679951032944</v>
      </c>
      <c r="BL52">
        <v>47</v>
      </c>
      <c r="BM52">
        <f t="shared" si="27"/>
        <v>34912.133800003874</v>
      </c>
      <c r="BN52">
        <f t="shared" si="28"/>
        <v>45955.767961229598</v>
      </c>
      <c r="BO52">
        <f t="shared" si="29"/>
        <v>49874.476857148395</v>
      </c>
      <c r="BQ52">
        <v>47</v>
      </c>
      <c r="BR52">
        <f t="shared" si="30"/>
        <v>78856.389525698571</v>
      </c>
      <c r="BS52">
        <f t="shared" si="31"/>
        <v>103800.75764097058</v>
      </c>
      <c r="BT52">
        <f t="shared" si="32"/>
        <v>112651.98503671224</v>
      </c>
      <c r="BV52" t="b">
        <f t="shared" si="33"/>
        <v>0</v>
      </c>
      <c r="BW52" t="b">
        <f t="shared" si="34"/>
        <v>0</v>
      </c>
      <c r="BX52" t="b">
        <f t="shared" si="35"/>
        <v>0</v>
      </c>
      <c r="CB52">
        <v>-3.6323105018888774E-2</v>
      </c>
      <c r="CC52">
        <v>47</v>
      </c>
      <c r="CD52">
        <v>-1.4076494624571624E-2</v>
      </c>
      <c r="CG52">
        <v>-6.2847484591069518E-3</v>
      </c>
      <c r="CH52">
        <v>-1.3689479008081571E-2</v>
      </c>
      <c r="CK52">
        <v>-2.1025299650614952E-2</v>
      </c>
      <c r="CL52">
        <v>-1.5818715489512945E-2</v>
      </c>
      <c r="CP52">
        <v>47</v>
      </c>
      <c r="CQ52">
        <f t="shared" si="36"/>
        <v>221588.89962268324</v>
      </c>
      <c r="CR52">
        <f t="shared" si="37"/>
        <v>380892.11072606483</v>
      </c>
      <c r="CS52">
        <f t="shared" si="38"/>
        <v>411670.12166562298</v>
      </c>
      <c r="CT52">
        <f t="shared" si="39"/>
        <v>202622.81523769314</v>
      </c>
      <c r="CU52">
        <f t="shared" si="47"/>
        <v>324607.30592510209</v>
      </c>
      <c r="CV52">
        <f t="shared" si="48"/>
        <v>344868.13797529018</v>
      </c>
      <c r="CW52">
        <f t="shared" si="43"/>
        <v>392248.26512651338</v>
      </c>
      <c r="CX52">
        <f t="shared" si="44"/>
        <v>665919.44794615672</v>
      </c>
      <c r="CY52">
        <f t="shared" si="45"/>
        <v>719621.85817822698</v>
      </c>
      <c r="DB52" t="b">
        <f t="shared" si="40"/>
        <v>0</v>
      </c>
      <c r="DC52" t="b">
        <f t="shared" si="41"/>
        <v>0</v>
      </c>
      <c r="DD52" t="b">
        <f t="shared" si="42"/>
        <v>0</v>
      </c>
    </row>
    <row r="53" spans="1:108" x14ac:dyDescent="0.25">
      <c r="A53" s="1">
        <v>44568</v>
      </c>
      <c r="B53">
        <v>152.11000100000001</v>
      </c>
      <c r="C53">
        <v>154.949997</v>
      </c>
      <c r="D53">
        <v>144.16999799999999</v>
      </c>
      <c r="E53">
        <v>145.13000500000001</v>
      </c>
      <c r="F53">
        <v>145.13000500000001</v>
      </c>
      <c r="G53">
        <v>3563000</v>
      </c>
      <c r="H53">
        <f xml:space="preserve"> (ENPH[[#This Row],[Close]]-E52)/E52</f>
        <v>-4.1982967787214644E-2</v>
      </c>
      <c r="K53" s="1">
        <v>44568</v>
      </c>
      <c r="L53">
        <v>248.009995</v>
      </c>
      <c r="M53">
        <v>259.51998900000001</v>
      </c>
      <c r="N53">
        <v>247.009995</v>
      </c>
      <c r="O53">
        <v>248.91000399999999</v>
      </c>
      <c r="P53">
        <v>248.91000399999999</v>
      </c>
      <c r="Q53">
        <v>640300</v>
      </c>
      <c r="R53">
        <f xml:space="preserve"> (SEDG4[[#This Row],[Close]]-O52)/O52</f>
        <v>2.6989968840839735E-3</v>
      </c>
      <c r="V53">
        <f xml:space="preserve"> X53/(2*ENPH[[#This Row],[Close]])</f>
        <v>2288.2021525032305</v>
      </c>
      <c r="W53">
        <f xml:space="preserve"> X53/(2*SEDG4[[#This Row],[Close]])</f>
        <v>1334.1640934359741</v>
      </c>
      <c r="X53">
        <f t="shared" si="46"/>
        <v>664173.5796676093</v>
      </c>
      <c r="Y53">
        <f t="shared" si="23"/>
        <v>-1.8884896848166598E-2</v>
      </c>
      <c r="Z53">
        <f xml:space="preserve"> V53*ENPH[[#This Row],[Close]]</f>
        <v>332086.78983380465</v>
      </c>
      <c r="AA53">
        <f xml:space="preserve"> W53*SEDG4[[#This Row],[Close]]</f>
        <v>332086.78983380465</v>
      </c>
      <c r="AB53">
        <f t="shared" si="1"/>
        <v>664173.5796676093</v>
      </c>
      <c r="AC53" t="b">
        <f t="shared" si="2"/>
        <v>1</v>
      </c>
      <c r="AE53">
        <v>49</v>
      </c>
      <c r="AF53">
        <f t="shared" si="3"/>
        <v>309910.77739428222</v>
      </c>
      <c r="AG53">
        <f t="shared" si="4"/>
        <v>407943.77840675926</v>
      </c>
      <c r="AH53">
        <f t="shared" si="5"/>
        <v>442729.68199183169</v>
      </c>
      <c r="AJ53">
        <v>49</v>
      </c>
      <c r="AK53">
        <f t="shared" si="6"/>
        <v>278161.89594612841</v>
      </c>
      <c r="AL53">
        <f t="shared" si="7"/>
        <v>366151.88343929144</v>
      </c>
      <c r="AM53">
        <f t="shared" si="8"/>
        <v>397374.1370658977</v>
      </c>
      <c r="AO53">
        <v>49</v>
      </c>
      <c r="AP53">
        <f t="shared" si="9"/>
        <v>565744.6256275319</v>
      </c>
      <c r="AQ53">
        <f t="shared" si="10"/>
        <v>744704.66026481253</v>
      </c>
      <c r="AR53">
        <f t="shared" si="11"/>
        <v>808206.60803933127</v>
      </c>
      <c r="AT53">
        <f t="shared" si="12"/>
        <v>588072.67334041069</v>
      </c>
      <c r="AU53" t="b">
        <f t="shared" si="13"/>
        <v>0</v>
      </c>
      <c r="AV53">
        <f t="shared" si="14"/>
        <v>774095.66184605076</v>
      </c>
      <c r="AW53" t="b">
        <f t="shared" si="15"/>
        <v>0</v>
      </c>
      <c r="AX53">
        <f t="shared" si="16"/>
        <v>840103.81905772933</v>
      </c>
      <c r="AY53" t="b">
        <f t="shared" si="17"/>
        <v>0</v>
      </c>
      <c r="BA53">
        <v>49</v>
      </c>
      <c r="BB53">
        <f t="shared" si="18"/>
        <v>6.6456522470684199E-4</v>
      </c>
      <c r="BC53">
        <f t="shared" si="19"/>
        <v>1.2709431225139819E-3</v>
      </c>
      <c r="BD53">
        <f t="shared" si="20"/>
        <v>9.8492459570832412E-4</v>
      </c>
      <c r="BG53">
        <v>48</v>
      </c>
      <c r="BH53">
        <f t="shared" si="24"/>
        <v>50351.632722569004</v>
      </c>
      <c r="BI53">
        <f t="shared" si="25"/>
        <v>66279.190012361243</v>
      </c>
      <c r="BJ53">
        <f t="shared" si="26"/>
        <v>71930.903889384281</v>
      </c>
      <c r="BL53">
        <v>48</v>
      </c>
      <c r="BM53">
        <f t="shared" si="27"/>
        <v>35281.584657845538</v>
      </c>
      <c r="BN53">
        <f t="shared" si="28"/>
        <v>46442.085927164022</v>
      </c>
      <c r="BO53">
        <f t="shared" si="29"/>
        <v>50402.263796922191</v>
      </c>
      <c r="BQ53">
        <v>48</v>
      </c>
      <c r="BR53">
        <f t="shared" si="30"/>
        <v>79690.871912924122</v>
      </c>
      <c r="BS53">
        <f t="shared" si="31"/>
        <v>104899.20894660421</v>
      </c>
      <c r="BT53">
        <f t="shared" si="32"/>
        <v>113844.10273274875</v>
      </c>
      <c r="BV53" t="b">
        <f t="shared" si="33"/>
        <v>0</v>
      </c>
      <c r="BW53" t="b">
        <f t="shared" si="34"/>
        <v>0</v>
      </c>
      <c r="BX53" t="b">
        <f t="shared" si="35"/>
        <v>0</v>
      </c>
      <c r="CB53">
        <v>-4.1982967787214644E-2</v>
      </c>
      <c r="CC53">
        <v>48</v>
      </c>
      <c r="CD53">
        <v>-1.2080506389175537E-2</v>
      </c>
      <c r="CG53">
        <v>2.6989968840839735E-3</v>
      </c>
      <c r="CH53">
        <v>-1.2972371727008212E-2</v>
      </c>
      <c r="CK53">
        <v>-1.8884896848166598E-2</v>
      </c>
      <c r="CL53">
        <v>-1.5139380472384292E-2</v>
      </c>
      <c r="CP53">
        <v>48</v>
      </c>
      <c r="CQ53">
        <f t="shared" si="36"/>
        <v>223933.82100511045</v>
      </c>
      <c r="CR53">
        <f t="shared" si="37"/>
        <v>384922.82732044411</v>
      </c>
      <c r="CS53">
        <f t="shared" si="38"/>
        <v>416026.54056767037</v>
      </c>
      <c r="CT53">
        <f t="shared" si="39"/>
        <v>204767.03172519553</v>
      </c>
      <c r="CU53">
        <f t="shared" si="47"/>
        <v>328042.39953246235</v>
      </c>
      <c r="CV53">
        <f t="shared" si="48"/>
        <v>348517.63789262873</v>
      </c>
      <c r="CW53">
        <f t="shared" si="43"/>
        <v>396399.15601356298</v>
      </c>
      <c r="CX53">
        <f t="shared" si="44"/>
        <v>672966.41083609394</v>
      </c>
      <c r="CY53">
        <f t="shared" si="45"/>
        <v>727237.11636750225</v>
      </c>
      <c r="DB53" t="b">
        <f t="shared" si="40"/>
        <v>0</v>
      </c>
      <c r="DC53" t="b">
        <f t="shared" si="41"/>
        <v>0</v>
      </c>
      <c r="DD53" t="b">
        <f t="shared" si="42"/>
        <v>0</v>
      </c>
    </row>
    <row r="54" spans="1:108" x14ac:dyDescent="0.25">
      <c r="A54" s="1">
        <v>44571</v>
      </c>
      <c r="B54">
        <v>140.21000699999999</v>
      </c>
      <c r="C54">
        <v>147.38999899999999</v>
      </c>
      <c r="D54">
        <v>137.66000399999999</v>
      </c>
      <c r="E54">
        <v>147.13000500000001</v>
      </c>
      <c r="F54">
        <v>147.13000500000001</v>
      </c>
      <c r="G54">
        <v>3730100</v>
      </c>
      <c r="H54">
        <f xml:space="preserve"> (ENPH[[#This Row],[Close]]-E53)/E53</f>
        <v>1.3780747819859855E-2</v>
      </c>
      <c r="K54" s="1">
        <v>44571</v>
      </c>
      <c r="L54">
        <v>247.654999</v>
      </c>
      <c r="M54">
        <v>255.949997</v>
      </c>
      <c r="N54">
        <v>241</v>
      </c>
      <c r="O54">
        <v>255.470001</v>
      </c>
      <c r="P54">
        <v>255.470001</v>
      </c>
      <c r="Q54">
        <v>1317100</v>
      </c>
      <c r="R54">
        <f xml:space="preserve"> (SEDG4[[#This Row],[Close]]-O53)/O53</f>
        <v>2.6354894920173681E-2</v>
      </c>
      <c r="V54">
        <f xml:space="preserve"> X54/(2*ENPH[[#This Row],[Close]])</f>
        <v>2303.1963406549326</v>
      </c>
      <c r="W54">
        <f xml:space="preserve"> X54/(2*SEDG4[[#This Row],[Close]])</f>
        <v>1326.4543304109588</v>
      </c>
      <c r="X54">
        <f t="shared" si="46"/>
        <v>677738.57823308394</v>
      </c>
      <c r="Y54">
        <f t="shared" si="23"/>
        <v>2.0423875596291181E-2</v>
      </c>
      <c r="Z54">
        <f xml:space="preserve"> V54*ENPH[[#This Row],[Close]]</f>
        <v>338869.28911654197</v>
      </c>
      <c r="AA54">
        <f xml:space="preserve"> W54*SEDG4[[#This Row],[Close]]</f>
        <v>338869.28911654197</v>
      </c>
      <c r="AB54">
        <f t="shared" si="1"/>
        <v>677738.57823308394</v>
      </c>
      <c r="AC54" t="b">
        <f t="shared" si="2"/>
        <v>1</v>
      </c>
      <c r="AE54">
        <v>50</v>
      </c>
      <c r="AF54">
        <f t="shared" si="3"/>
        <v>313057.16036898794</v>
      </c>
      <c r="AG54">
        <f t="shared" si="4"/>
        <v>412085.44579183107</v>
      </c>
      <c r="AH54">
        <f t="shared" si="5"/>
        <v>447224.51481283992</v>
      </c>
      <c r="AJ54">
        <v>50</v>
      </c>
      <c r="AK54">
        <f t="shared" si="6"/>
        <v>280985.94698744884</v>
      </c>
      <c r="AL54">
        <f t="shared" si="7"/>
        <v>369869.25674878474</v>
      </c>
      <c r="AM54">
        <f t="shared" si="8"/>
        <v>401408.49569635547</v>
      </c>
      <c r="AO54">
        <v>50</v>
      </c>
      <c r="AP54">
        <f t="shared" si="9"/>
        <v>571488.37314438925</v>
      </c>
      <c r="AQ54">
        <f t="shared" si="10"/>
        <v>752265.30750639003</v>
      </c>
      <c r="AR54">
        <f t="shared" si="11"/>
        <v>816411.96163484186</v>
      </c>
      <c r="AT54">
        <f t="shared" si="12"/>
        <v>594043.10735643678</v>
      </c>
      <c r="AU54" t="b">
        <f t="shared" si="13"/>
        <v>0</v>
      </c>
      <c r="AV54">
        <f t="shared" si="14"/>
        <v>781954.70254061581</v>
      </c>
      <c r="AW54" t="b">
        <f t="shared" si="15"/>
        <v>0</v>
      </c>
      <c r="AX54">
        <f t="shared" si="16"/>
        <v>848633.01050919539</v>
      </c>
      <c r="AY54" t="b">
        <f t="shared" si="17"/>
        <v>0</v>
      </c>
      <c r="BA54">
        <v>50</v>
      </c>
      <c r="BB54">
        <f t="shared" si="18"/>
        <v>4.2517465656675719E-4</v>
      </c>
      <c r="BC54">
        <f t="shared" si="19"/>
        <v>9.972147634573522E-4</v>
      </c>
      <c r="BD54">
        <f t="shared" si="20"/>
        <v>7.291493958788152E-4</v>
      </c>
      <c r="BG54">
        <v>49</v>
      </c>
      <c r="BH54">
        <f t="shared" si="24"/>
        <v>50873.425236396673</v>
      </c>
      <c r="BI54">
        <f t="shared" si="25"/>
        <v>66966.039341787458</v>
      </c>
      <c r="BJ54">
        <f t="shared" si="26"/>
        <v>72676.321766280947</v>
      </c>
      <c r="BL54">
        <v>49</v>
      </c>
      <c r="BM54">
        <f t="shared" si="27"/>
        <v>35647.20669937646</v>
      </c>
      <c r="BN54">
        <f t="shared" si="28"/>
        <v>46923.363920607793</v>
      </c>
      <c r="BO54">
        <f t="shared" si="29"/>
        <v>50924.580999109225</v>
      </c>
      <c r="BQ54">
        <v>49</v>
      </c>
      <c r="BR54">
        <f t="shared" si="30"/>
        <v>80516.706114044791</v>
      </c>
      <c r="BS54">
        <f t="shared" si="31"/>
        <v>105986.27641542631</v>
      </c>
      <c r="BT54">
        <f t="shared" si="32"/>
        <v>115023.86587720684</v>
      </c>
      <c r="BV54" t="b">
        <f t="shared" si="33"/>
        <v>0</v>
      </c>
      <c r="BW54" t="b">
        <f t="shared" si="34"/>
        <v>0</v>
      </c>
      <c r="BX54" t="b">
        <f t="shared" si="35"/>
        <v>0</v>
      </c>
      <c r="CB54">
        <v>1.3780747819859855E-2</v>
      </c>
      <c r="CC54">
        <v>49</v>
      </c>
      <c r="CD54">
        <v>-1.0272556677864763E-2</v>
      </c>
      <c r="CG54">
        <v>2.6354894920173681E-2</v>
      </c>
      <c r="CH54">
        <v>-1.0264400004485743E-2</v>
      </c>
      <c r="CK54">
        <v>2.0423875596291181E-2</v>
      </c>
      <c r="CL54">
        <v>-1.4287879366452384E-2</v>
      </c>
      <c r="CP54">
        <v>49</v>
      </c>
      <c r="CQ54">
        <f t="shared" si="36"/>
        <v>226254.44071643351</v>
      </c>
      <c r="CR54">
        <f t="shared" si="37"/>
        <v>388911.77144870791</v>
      </c>
      <c r="CS54">
        <f t="shared" si="38"/>
        <v>420337.81157685322</v>
      </c>
      <c r="CT54">
        <f t="shared" si="39"/>
        <v>206889.02655347899</v>
      </c>
      <c r="CU54">
        <f t="shared" si="47"/>
        <v>331441.89343243634</v>
      </c>
      <c r="CV54">
        <f t="shared" si="48"/>
        <v>352129.31609562301</v>
      </c>
      <c r="CW54">
        <f t="shared" si="43"/>
        <v>400507.02900419931</v>
      </c>
      <c r="CX54">
        <f t="shared" si="44"/>
        <v>679940.34229064151</v>
      </c>
      <c r="CY54">
        <f t="shared" si="45"/>
        <v>734773.45357406314</v>
      </c>
      <c r="DB54" t="b">
        <f t="shared" si="40"/>
        <v>0</v>
      </c>
      <c r="DC54" t="b">
        <f t="shared" si="41"/>
        <v>0</v>
      </c>
      <c r="DD54" t="b">
        <f t="shared" si="42"/>
        <v>0</v>
      </c>
    </row>
    <row r="55" spans="1:108" x14ac:dyDescent="0.25">
      <c r="A55" s="1">
        <v>44572</v>
      </c>
      <c r="B55">
        <v>145.91999799999999</v>
      </c>
      <c r="C55">
        <v>151.28999300000001</v>
      </c>
      <c r="D55">
        <v>145.25</v>
      </c>
      <c r="E55">
        <v>148.509995</v>
      </c>
      <c r="F55">
        <v>148.509995</v>
      </c>
      <c r="G55">
        <v>3007600</v>
      </c>
      <c r="H55">
        <f xml:space="preserve"> (ENPH[[#This Row],[Close]]-E54)/E54</f>
        <v>9.3793920553458289E-3</v>
      </c>
      <c r="K55" s="1">
        <v>44572</v>
      </c>
      <c r="L55">
        <v>254.55999800000001</v>
      </c>
      <c r="M55">
        <v>264.17999300000002</v>
      </c>
      <c r="N55">
        <v>253.720001</v>
      </c>
      <c r="O55">
        <v>261.08999599999999</v>
      </c>
      <c r="P55">
        <v>261.08999599999999</v>
      </c>
      <c r="Q55">
        <v>785600</v>
      </c>
      <c r="R55">
        <f xml:space="preserve"> (SEDG4[[#This Row],[Close]]-O54)/O54</f>
        <v>2.1998649461781577E-2</v>
      </c>
      <c r="V55">
        <f xml:space="preserve"> X55/(2*ENPH[[#This Row],[Close]])</f>
        <v>2318.4973944776998</v>
      </c>
      <c r="W55">
        <f xml:space="preserve"> X55/(2*SEDG4[[#This Row],[Close]])</f>
        <v>1318.7791249627055</v>
      </c>
      <c r="X55">
        <f t="shared" si="46"/>
        <v>688640.07292279252</v>
      </c>
      <c r="Y55">
        <f t="shared" si="23"/>
        <v>1.6085102781266489E-2</v>
      </c>
      <c r="Z55">
        <f xml:space="preserve"> V55*ENPH[[#This Row],[Close]]</f>
        <v>344320.03646139626</v>
      </c>
      <c r="AA55">
        <f xml:space="preserve"> W55*SEDG4[[#This Row],[Close]]</f>
        <v>344320.03646139626</v>
      </c>
      <c r="AB55">
        <f t="shared" si="1"/>
        <v>688640.07292279252</v>
      </c>
      <c r="AC55" t="b">
        <f t="shared" si="2"/>
        <v>1</v>
      </c>
      <c r="AE55">
        <v>51</v>
      </c>
      <c r="AF55">
        <f t="shared" si="3"/>
        <v>316172.23371362023</v>
      </c>
      <c r="AG55">
        <f t="shared" si="4"/>
        <v>416185.8994801736</v>
      </c>
      <c r="AH55">
        <f t="shared" si="5"/>
        <v>451674.61959088605</v>
      </c>
      <c r="AJ55">
        <v>51</v>
      </c>
      <c r="AK55">
        <f t="shared" si="6"/>
        <v>283781.89592100854</v>
      </c>
      <c r="AL55">
        <f t="shared" si="7"/>
        <v>373549.63850826636</v>
      </c>
      <c r="AM55">
        <f t="shared" si="8"/>
        <v>405402.70845858357</v>
      </c>
      <c r="AO55">
        <v>51</v>
      </c>
      <c r="AP55">
        <f t="shared" si="9"/>
        <v>577174.96467882686</v>
      </c>
      <c r="AQ55">
        <f t="shared" si="10"/>
        <v>759750.71881192527</v>
      </c>
      <c r="AR55">
        <f t="shared" si="11"/>
        <v>824535.66382689553</v>
      </c>
      <c r="AT55">
        <f t="shared" si="12"/>
        <v>599954.12963462877</v>
      </c>
      <c r="AU55" t="b">
        <f t="shared" si="13"/>
        <v>0</v>
      </c>
      <c r="AV55">
        <f t="shared" si="14"/>
        <v>789735.5379884399</v>
      </c>
      <c r="AW55" t="b">
        <f t="shared" si="15"/>
        <v>0</v>
      </c>
      <c r="AX55">
        <f t="shared" si="16"/>
        <v>857077.32804946962</v>
      </c>
      <c r="AY55" t="b">
        <f t="shared" si="17"/>
        <v>0</v>
      </c>
      <c r="BA55">
        <v>51</v>
      </c>
      <c r="BB55">
        <f t="shared" si="18"/>
        <v>2.2093159674665416E-4</v>
      </c>
      <c r="BC55">
        <f t="shared" si="19"/>
        <v>-1.1425409359138003E-5</v>
      </c>
      <c r="BD55">
        <f t="shared" si="20"/>
        <v>9.6741482843637876E-5</v>
      </c>
      <c r="BG55">
        <v>50</v>
      </c>
      <c r="BH55">
        <f t="shared" si="24"/>
        <v>51389.91995263275</v>
      </c>
      <c r="BI55">
        <f t="shared" si="25"/>
        <v>67645.915039690051</v>
      </c>
      <c r="BJ55">
        <f t="shared" si="26"/>
        <v>73414.171360903929</v>
      </c>
      <c r="BL55">
        <v>50</v>
      </c>
      <c r="BM55">
        <f t="shared" si="27"/>
        <v>36009.116553553744</v>
      </c>
      <c r="BN55">
        <f t="shared" si="28"/>
        <v>47399.755463351357</v>
      </c>
      <c r="BO55">
        <f t="shared" si="29"/>
        <v>51441.595076505349</v>
      </c>
      <c r="BQ55">
        <v>50</v>
      </c>
      <c r="BR55">
        <f t="shared" si="30"/>
        <v>81334.155560064886</v>
      </c>
      <c r="BS55">
        <f t="shared" si="31"/>
        <v>107062.30680865685</v>
      </c>
      <c r="BT55">
        <f t="shared" si="32"/>
        <v>116191.6508000927</v>
      </c>
      <c r="BV55" t="b">
        <f t="shared" si="33"/>
        <v>0</v>
      </c>
      <c r="BW55" t="b">
        <f t="shared" si="34"/>
        <v>0</v>
      </c>
      <c r="BX55" t="b">
        <f t="shared" si="35"/>
        <v>0</v>
      </c>
      <c r="CB55">
        <v>9.3793920553458289E-3</v>
      </c>
      <c r="CC55">
        <v>50</v>
      </c>
      <c r="CD55">
        <v>-1.0069473633266393E-2</v>
      </c>
      <c r="CG55">
        <v>2.1998649461781577E-2</v>
      </c>
      <c r="CH55">
        <v>-1.0112107262139007E-2</v>
      </c>
      <c r="CK55">
        <v>1.6085102781266489E-2</v>
      </c>
      <c r="CL55">
        <v>-1.3487047578531504E-2</v>
      </c>
      <c r="CP55">
        <v>50</v>
      </c>
      <c r="CQ55">
        <f t="shared" si="36"/>
        <v>228551.49900594263</v>
      </c>
      <c r="CR55">
        <f t="shared" si="37"/>
        <v>392860.21553522017</v>
      </c>
      <c r="CS55">
        <f t="shared" si="38"/>
        <v>424605.30993586598</v>
      </c>
      <c r="CT55">
        <f t="shared" si="39"/>
        <v>208989.47661292669</v>
      </c>
      <c r="CU55">
        <f t="shared" si="47"/>
        <v>334806.87202197826</v>
      </c>
      <c r="CV55">
        <f t="shared" si="48"/>
        <v>355704.32466542337</v>
      </c>
      <c r="CW55">
        <f t="shared" si="43"/>
        <v>404573.19445963803</v>
      </c>
      <c r="CX55">
        <f t="shared" si="44"/>
        <v>686843.46690859273</v>
      </c>
      <c r="CY55">
        <f t="shared" si="45"/>
        <v>742233.27379725559</v>
      </c>
      <c r="DB55" t="b">
        <f t="shared" si="40"/>
        <v>0</v>
      </c>
      <c r="DC55" t="b">
        <f t="shared" si="41"/>
        <v>0</v>
      </c>
      <c r="DD55" t="b">
        <f t="shared" si="42"/>
        <v>0</v>
      </c>
    </row>
    <row r="56" spans="1:108" x14ac:dyDescent="0.25">
      <c r="A56" s="1">
        <v>44573</v>
      </c>
      <c r="B56">
        <v>150.520004</v>
      </c>
      <c r="C56">
        <v>154.13000500000001</v>
      </c>
      <c r="D56">
        <v>147.35000600000001</v>
      </c>
      <c r="E56">
        <v>149.279999</v>
      </c>
      <c r="F56">
        <v>149.279999</v>
      </c>
      <c r="G56">
        <v>2430500</v>
      </c>
      <c r="H56">
        <f xml:space="preserve"> (ENPH[[#This Row],[Close]]-E55)/E55</f>
        <v>5.1848631467531874E-3</v>
      </c>
      <c r="K56" s="1">
        <v>44573</v>
      </c>
      <c r="L56">
        <v>264.959991</v>
      </c>
      <c r="M56">
        <v>269</v>
      </c>
      <c r="N56">
        <v>258.42001299999998</v>
      </c>
      <c r="O56">
        <v>261.01998900000001</v>
      </c>
      <c r="P56">
        <v>261.01998900000001</v>
      </c>
      <c r="Q56">
        <v>497500</v>
      </c>
      <c r="R56">
        <f xml:space="preserve"> (SEDG4[[#This Row],[Close]]-O55)/O55</f>
        <v>-2.6813359788773947E-4</v>
      </c>
      <c r="V56">
        <f xml:space="preserve"> X56/(2*ENPH[[#This Row],[Close]])</f>
        <v>2311.7749509287601</v>
      </c>
      <c r="W56">
        <f xml:space="preserve"> X56/(2*SEDG4[[#This Row],[Close]])</f>
        <v>1322.1277178234434</v>
      </c>
      <c r="X56">
        <f t="shared" si="46"/>
        <v>690203.52472574066</v>
      </c>
      <c r="Y56">
        <f t="shared" si="23"/>
        <v>2.270346824738775E-3</v>
      </c>
      <c r="Z56">
        <f xml:space="preserve"> V56*ENPH[[#This Row],[Close]]</f>
        <v>345101.76236287039</v>
      </c>
      <c r="AA56">
        <f xml:space="preserve"> W56*SEDG4[[#This Row],[Close]]</f>
        <v>345101.76236287033</v>
      </c>
      <c r="AB56">
        <f t="shared" si="1"/>
        <v>690203.52472574078</v>
      </c>
      <c r="AC56" t="b">
        <f t="shared" si="2"/>
        <v>1</v>
      </c>
      <c r="AE56">
        <v>52</v>
      </c>
      <c r="AF56">
        <f t="shared" si="3"/>
        <v>319256.91391828301</v>
      </c>
      <c r="AG56">
        <f t="shared" si="4"/>
        <v>420246.34587202565</v>
      </c>
      <c r="AH56">
        <f t="shared" si="5"/>
        <v>456081.30559754715</v>
      </c>
      <c r="AJ56">
        <v>52</v>
      </c>
      <c r="AK56">
        <f t="shared" si="6"/>
        <v>286550.56534686987</v>
      </c>
      <c r="AL56">
        <f t="shared" si="7"/>
        <v>377194.11152802262</v>
      </c>
      <c r="AM56">
        <f t="shared" si="8"/>
        <v>409357.95049552841</v>
      </c>
      <c r="AO56">
        <v>52</v>
      </c>
      <c r="AP56">
        <f t="shared" si="9"/>
        <v>582806.0732909271</v>
      </c>
      <c r="AQ56">
        <f t="shared" si="10"/>
        <v>767163.09647479176</v>
      </c>
      <c r="AR56">
        <f t="shared" si="11"/>
        <v>832580.10470132437</v>
      </c>
      <c r="AT56">
        <f t="shared" si="12"/>
        <v>605807.47926515294</v>
      </c>
      <c r="AU56" t="b">
        <f t="shared" si="13"/>
        <v>0</v>
      </c>
      <c r="AV56">
        <f t="shared" si="14"/>
        <v>797440.45740004827</v>
      </c>
      <c r="AW56" t="b">
        <f t="shared" si="15"/>
        <v>0</v>
      </c>
      <c r="AX56">
        <f t="shared" si="16"/>
        <v>865439.2560930755</v>
      </c>
      <c r="AY56" t="b">
        <f t="shared" si="17"/>
        <v>0</v>
      </c>
      <c r="BA56">
        <v>52</v>
      </c>
      <c r="BB56">
        <f t="shared" si="18"/>
        <v>-1.5535487196196951E-3</v>
      </c>
      <c r="BC56">
        <f t="shared" si="19"/>
        <v>-9.0536497098024963E-5</v>
      </c>
      <c r="BD56">
        <f t="shared" si="20"/>
        <v>-7.7357878609031461E-4</v>
      </c>
      <c r="BG56">
        <v>51</v>
      </c>
      <c r="BH56">
        <f t="shared" si="24"/>
        <v>51901.275034364633</v>
      </c>
      <c r="BI56">
        <f t="shared" si="25"/>
        <v>68319.025300337118</v>
      </c>
      <c r="BJ56">
        <f t="shared" si="26"/>
        <v>74144.678620520906</v>
      </c>
      <c r="BL56">
        <v>51</v>
      </c>
      <c r="BM56">
        <f t="shared" si="27"/>
        <v>36367.425045867167</v>
      </c>
      <c r="BN56">
        <f t="shared" si="28"/>
        <v>47871.406437927195</v>
      </c>
      <c r="BO56">
        <f t="shared" si="29"/>
        <v>51953.464351238814</v>
      </c>
      <c r="BQ56">
        <v>51</v>
      </c>
      <c r="BR56">
        <f t="shared" si="30"/>
        <v>82143.470573638479</v>
      </c>
      <c r="BS56">
        <f t="shared" si="31"/>
        <v>108127.62963264657</v>
      </c>
      <c r="BT56">
        <f t="shared" si="32"/>
        <v>117347.81510519782</v>
      </c>
      <c r="BV56" t="b">
        <f t="shared" si="33"/>
        <v>0</v>
      </c>
      <c r="BW56" t="b">
        <f t="shared" si="34"/>
        <v>0</v>
      </c>
      <c r="BX56" t="b">
        <f t="shared" si="35"/>
        <v>0</v>
      </c>
      <c r="CB56">
        <v>5.1848631467531874E-3</v>
      </c>
      <c r="CC56">
        <v>51</v>
      </c>
      <c r="CD56">
        <v>-9.8587111515406663E-3</v>
      </c>
      <c r="CG56">
        <v>-2.6813359788773947E-4</v>
      </c>
      <c r="CH56">
        <v>-8.9521037126292467E-3</v>
      </c>
      <c r="CK56">
        <v>2.270346824738775E-3</v>
      </c>
      <c r="CL56">
        <v>-1.3454956919721404E-2</v>
      </c>
      <c r="CP56">
        <v>51</v>
      </c>
      <c r="CQ56">
        <f t="shared" si="36"/>
        <v>230825.69928805731</v>
      </c>
      <c r="CR56">
        <f t="shared" si="37"/>
        <v>396769.36868839461</v>
      </c>
      <c r="CS56">
        <f t="shared" si="38"/>
        <v>428830.34245520394</v>
      </c>
      <c r="CT56">
        <f t="shared" si="39"/>
        <v>211069.02511179593</v>
      </c>
      <c r="CU56">
        <f t="shared" si="47"/>
        <v>338138.36573835294</v>
      </c>
      <c r="CV56">
        <f t="shared" si="48"/>
        <v>359243.75835551909</v>
      </c>
      <c r="CW56">
        <f t="shared" si="43"/>
        <v>408598.89753740357</v>
      </c>
      <c r="CX56">
        <f t="shared" si="44"/>
        <v>693677.8985925063</v>
      </c>
      <c r="CY56">
        <f t="shared" si="45"/>
        <v>749618.86141320353</v>
      </c>
      <c r="DB56" t="b">
        <f t="shared" si="40"/>
        <v>0</v>
      </c>
      <c r="DC56" t="b">
        <f t="shared" si="41"/>
        <v>0</v>
      </c>
      <c r="DD56" t="b">
        <f t="shared" si="42"/>
        <v>0</v>
      </c>
    </row>
    <row r="57" spans="1:108" x14ac:dyDescent="0.25">
      <c r="A57" s="1">
        <v>44574</v>
      </c>
      <c r="B57">
        <v>156.63999899999999</v>
      </c>
      <c r="C57">
        <v>157.36000100000001</v>
      </c>
      <c r="D57">
        <v>143.199997</v>
      </c>
      <c r="E57">
        <v>143.490005</v>
      </c>
      <c r="F57">
        <v>143.490005</v>
      </c>
      <c r="G57">
        <v>2765400</v>
      </c>
      <c r="H57">
        <f xml:space="preserve"> (ENPH[[#This Row],[Close]]-E56)/E56</f>
        <v>-3.8786133700335887E-2</v>
      </c>
      <c r="K57" s="1">
        <v>44574</v>
      </c>
      <c r="L57">
        <v>270.23998999999998</v>
      </c>
      <c r="M57">
        <v>277.64001500000001</v>
      </c>
      <c r="N57">
        <v>260.14999399999999</v>
      </c>
      <c r="O57">
        <v>260.42999300000002</v>
      </c>
      <c r="P57">
        <v>260.42999300000002</v>
      </c>
      <c r="Q57">
        <v>1222800</v>
      </c>
      <c r="R57">
        <f xml:space="preserve"> (SEDG4[[#This Row],[Close]]-O56)/O56</f>
        <v>-2.2603479613202537E-3</v>
      </c>
      <c r="V57">
        <f xml:space="preserve"> X57/(2*ENPH[[#This Row],[Close]])</f>
        <v>2358.6082768689425</v>
      </c>
      <c r="W57">
        <f xml:space="preserve"> X57/(2*SEDG4[[#This Row],[Close]])</f>
        <v>1299.5304785841847</v>
      </c>
      <c r="X57">
        <f t="shared" si="46"/>
        <v>676873.42688193184</v>
      </c>
      <c r="Y57">
        <f t="shared" si="23"/>
        <v>-1.9313285670492147E-2</v>
      </c>
      <c r="Z57">
        <f xml:space="preserve"> V57*ENPH[[#This Row],[Close]]</f>
        <v>338436.71344096592</v>
      </c>
      <c r="AA57">
        <f xml:space="preserve"> W57*SEDG4[[#This Row],[Close]]</f>
        <v>338436.71344096592</v>
      </c>
      <c r="AB57">
        <f t="shared" si="1"/>
        <v>676873.42688193184</v>
      </c>
      <c r="AC57" t="b">
        <f t="shared" si="2"/>
        <v>1</v>
      </c>
      <c r="AE57">
        <v>53</v>
      </c>
      <c r="AF57">
        <f t="shared" si="3"/>
        <v>322312.07361467532</v>
      </c>
      <c r="AG57">
        <f t="shared" si="4"/>
        <v>424267.93363564403</v>
      </c>
      <c r="AH57">
        <f t="shared" si="5"/>
        <v>460445.81944953609</v>
      </c>
      <c r="AJ57">
        <v>53</v>
      </c>
      <c r="AK57">
        <f t="shared" si="6"/>
        <v>289292.73849977535</v>
      </c>
      <c r="AL57">
        <f t="shared" si="7"/>
        <v>380803.70680072473</v>
      </c>
      <c r="AM57">
        <f t="shared" si="8"/>
        <v>413275.34071396478</v>
      </c>
      <c r="AO57">
        <v>53</v>
      </c>
      <c r="AP57">
        <f t="shared" si="9"/>
        <v>588383.29197689996</v>
      </c>
      <c r="AQ57">
        <f t="shared" si="10"/>
        <v>774504.53739816428</v>
      </c>
      <c r="AR57">
        <f t="shared" si="11"/>
        <v>840547.55996699992</v>
      </c>
      <c r="AT57">
        <f t="shared" si="12"/>
        <v>611604.81211445061</v>
      </c>
      <c r="AU57" t="b">
        <f t="shared" si="13"/>
        <v>0</v>
      </c>
      <c r="AV57">
        <f t="shared" si="14"/>
        <v>805071.64043636876</v>
      </c>
      <c r="AW57" t="b">
        <f t="shared" si="15"/>
        <v>0</v>
      </c>
      <c r="AX57">
        <f t="shared" si="16"/>
        <v>873721.16016350081</v>
      </c>
      <c r="AY57" t="b">
        <f t="shared" si="17"/>
        <v>0</v>
      </c>
      <c r="BA57">
        <v>53</v>
      </c>
      <c r="BB57">
        <f t="shared" si="18"/>
        <v>-1.705587325200866E-4</v>
      </c>
      <c r="BC57">
        <f t="shared" si="19"/>
        <v>-9.5417621116068924E-4</v>
      </c>
      <c r="BD57">
        <f t="shared" si="20"/>
        <v>-5.9559008024755394E-4</v>
      </c>
      <c r="BG57">
        <v>52</v>
      </c>
      <c r="BH57">
        <f t="shared" si="24"/>
        <v>52407.640928089117</v>
      </c>
      <c r="BI57">
        <f t="shared" si="25"/>
        <v>68985.568160443843</v>
      </c>
      <c r="BJ57">
        <f t="shared" si="26"/>
        <v>74868.058468698742</v>
      </c>
      <c r="BL57">
        <v>52</v>
      </c>
      <c r="BM57">
        <f t="shared" si="27"/>
        <v>36722.2375947615</v>
      </c>
      <c r="BN57">
        <f t="shared" si="28"/>
        <v>48338.455609430952</v>
      </c>
      <c r="BO57">
        <f t="shared" si="29"/>
        <v>52460.339421087854</v>
      </c>
      <c r="BQ57">
        <v>52</v>
      </c>
      <c r="BR57">
        <f t="shared" si="30"/>
        <v>82944.889264472382</v>
      </c>
      <c r="BS57">
        <f t="shared" si="31"/>
        <v>109182.55831751977</v>
      </c>
      <c r="BT57">
        <f t="shared" si="32"/>
        <v>118492.69894924625</v>
      </c>
      <c r="BV57" t="b">
        <f t="shared" si="33"/>
        <v>0</v>
      </c>
      <c r="BW57" t="b">
        <f t="shared" si="34"/>
        <v>0</v>
      </c>
      <c r="BX57" t="b">
        <f t="shared" si="35"/>
        <v>0</v>
      </c>
      <c r="CB57">
        <v>-3.8786133700335887E-2</v>
      </c>
      <c r="CC57">
        <v>52</v>
      </c>
      <c r="CD57">
        <v>-9.2293520658337895E-3</v>
      </c>
      <c r="CG57">
        <v>-2.2603479613202537E-3</v>
      </c>
      <c r="CH57">
        <v>-7.3133211142689027E-3</v>
      </c>
      <c r="CK57">
        <v>-1.9313285670492147E-2</v>
      </c>
      <c r="CL57">
        <v>-1.2493031753194708E-2</v>
      </c>
      <c r="CP57">
        <v>52</v>
      </c>
      <c r="CQ57">
        <f t="shared" si="36"/>
        <v>233077.71065843667</v>
      </c>
      <c r="CR57">
        <f t="shared" si="37"/>
        <v>400640.38102567091</v>
      </c>
      <c r="CS57">
        <f t="shared" si="38"/>
        <v>433014.15218761854</v>
      </c>
      <c r="CT57">
        <f t="shared" si="39"/>
        <v>213128.28387697123</v>
      </c>
      <c r="CU57">
        <f t="shared" si="47"/>
        <v>341437.35474500584</v>
      </c>
      <c r="CV57">
        <f t="shared" si="48"/>
        <v>362748.65850766737</v>
      </c>
      <c r="CW57">
        <f t="shared" si="43"/>
        <v>412585.32264525251</v>
      </c>
      <c r="CX57">
        <f t="shared" si="44"/>
        <v>700445.64811012684</v>
      </c>
      <c r="CY57">
        <f t="shared" si="45"/>
        <v>756932.38934601238</v>
      </c>
      <c r="DB57" t="b">
        <f t="shared" si="40"/>
        <v>0</v>
      </c>
      <c r="DC57" t="b">
        <f t="shared" si="41"/>
        <v>0</v>
      </c>
      <c r="DD57" t="b">
        <f t="shared" si="42"/>
        <v>0</v>
      </c>
    </row>
    <row r="58" spans="1:108" x14ac:dyDescent="0.25">
      <c r="A58" s="1">
        <v>44575</v>
      </c>
      <c r="B58">
        <v>141.55999800000001</v>
      </c>
      <c r="C58">
        <v>147</v>
      </c>
      <c r="D58">
        <v>138.88000500000001</v>
      </c>
      <c r="E58">
        <v>142.83999600000001</v>
      </c>
      <c r="F58">
        <v>142.83999600000001</v>
      </c>
      <c r="G58">
        <v>2134800</v>
      </c>
      <c r="H58">
        <f xml:space="preserve"> (ENPH[[#This Row],[Close]]-E57)/E57</f>
        <v>-4.5299949637605972E-3</v>
      </c>
      <c r="K58" s="1">
        <v>44575</v>
      </c>
      <c r="L58">
        <v>255.14999399999999</v>
      </c>
      <c r="M58">
        <v>266.51998900000001</v>
      </c>
      <c r="N58">
        <v>248.83000200000001</v>
      </c>
      <c r="O58">
        <v>253.83000200000001</v>
      </c>
      <c r="P58">
        <v>253.83000200000001</v>
      </c>
      <c r="Q58">
        <v>771100</v>
      </c>
      <c r="R58">
        <f xml:space="preserve"> (SEDG4[[#This Row],[Close]]-O57)/O57</f>
        <v>-2.5342668576579873E-2</v>
      </c>
      <c r="V58">
        <f xml:space="preserve"> X58/(2*ENPH[[#This Row],[Close]])</f>
        <v>2331.8614441842847</v>
      </c>
      <c r="W58">
        <f xml:space="preserve"> X58/(2*SEDG4[[#This Row],[Close]])</f>
        <v>1312.2289592852678</v>
      </c>
      <c r="X58">
        <f t="shared" si="46"/>
        <v>666166.15871967492</v>
      </c>
      <c r="Y58">
        <f t="shared" si="23"/>
        <v>-1.5818715489512945E-2</v>
      </c>
      <c r="Z58">
        <f xml:space="preserve"> V58*ENPH[[#This Row],[Close]]</f>
        <v>333083.07935983746</v>
      </c>
      <c r="AA58">
        <f xml:space="preserve"> W58*SEDG4[[#This Row],[Close]]</f>
        <v>333083.07935983746</v>
      </c>
      <c r="AB58">
        <f t="shared" si="1"/>
        <v>666166.15871967492</v>
      </c>
      <c r="AC58" t="b">
        <f t="shared" si="2"/>
        <v>1</v>
      </c>
      <c r="AE58">
        <v>54</v>
      </c>
      <c r="AF58">
        <f t="shared" si="3"/>
        <v>325338.54445939505</v>
      </c>
      <c r="AG58">
        <f t="shared" si="4"/>
        <v>428251.75750267308</v>
      </c>
      <c r="AH58">
        <f t="shared" si="5"/>
        <v>464769.34922770719</v>
      </c>
      <c r="AJ58">
        <v>54</v>
      </c>
      <c r="AK58">
        <f t="shared" si="6"/>
        <v>292009.1618370699</v>
      </c>
      <c r="AL58">
        <f t="shared" si="7"/>
        <v>384379.40690797981</v>
      </c>
      <c r="AM58">
        <f t="shared" si="8"/>
        <v>417155.94548152841</v>
      </c>
      <c r="AO58">
        <v>54</v>
      </c>
      <c r="AP58">
        <f t="shared" si="9"/>
        <v>593908.13893257792</v>
      </c>
      <c r="AQ58">
        <f t="shared" si="10"/>
        <v>781777.04002349544</v>
      </c>
      <c r="AR58">
        <f t="shared" si="11"/>
        <v>848440.19847511128</v>
      </c>
      <c r="AT58">
        <f t="shared" si="12"/>
        <v>617347.70629646489</v>
      </c>
      <c r="AU58" t="b">
        <f t="shared" si="13"/>
        <v>0</v>
      </c>
      <c r="AV58">
        <f t="shared" si="14"/>
        <v>812631.16441065283</v>
      </c>
      <c r="AW58" t="b">
        <f t="shared" si="15"/>
        <v>0</v>
      </c>
      <c r="AX58">
        <f t="shared" si="16"/>
        <v>881925.29470923566</v>
      </c>
      <c r="AY58" t="b">
        <f t="shared" si="17"/>
        <v>0</v>
      </c>
      <c r="BA58">
        <v>54</v>
      </c>
      <c r="BB58">
        <f t="shared" si="18"/>
        <v>-1.7145897927288824E-3</v>
      </c>
      <c r="BC58">
        <f t="shared" si="19"/>
        <v>-2.0956564717343278E-3</v>
      </c>
      <c r="BD58">
        <f t="shared" si="20"/>
        <v>-1.9192788730529101E-3</v>
      </c>
      <c r="BG58">
        <v>53</v>
      </c>
      <c r="BH58">
        <f t="shared" si="24"/>
        <v>52909.160880723495</v>
      </c>
      <c r="BI58">
        <f t="shared" si="25"/>
        <v>69645.732179727871</v>
      </c>
      <c r="BJ58">
        <f t="shared" si="26"/>
        <v>75584.51554389071</v>
      </c>
      <c r="BL58">
        <v>53</v>
      </c>
      <c r="BM58">
        <f t="shared" si="27"/>
        <v>37073.654573908185</v>
      </c>
      <c r="BN58">
        <f t="shared" si="28"/>
        <v>48801.035102389353</v>
      </c>
      <c r="BO58">
        <f t="shared" si="29"/>
        <v>52962.363677011694</v>
      </c>
      <c r="BQ58">
        <v>53</v>
      </c>
      <c r="BR58">
        <f t="shared" si="30"/>
        <v>83738.638347592947</v>
      </c>
      <c r="BS58">
        <f t="shared" si="31"/>
        <v>110227.3912942805</v>
      </c>
      <c r="BT58">
        <f t="shared" si="32"/>
        <v>119626.62621084705</v>
      </c>
      <c r="BV58" t="b">
        <f t="shared" si="33"/>
        <v>0</v>
      </c>
      <c r="BW58" t="b">
        <f t="shared" si="34"/>
        <v>0</v>
      </c>
      <c r="BX58" t="b">
        <f t="shared" si="35"/>
        <v>0</v>
      </c>
      <c r="CB58">
        <v>-4.5299949637605972E-3</v>
      </c>
      <c r="CC58">
        <v>53</v>
      </c>
      <c r="CD58">
        <v>-9.117133588143542E-3</v>
      </c>
      <c r="CG58">
        <v>-2.5342668576579873E-2</v>
      </c>
      <c r="CH58">
        <v>-6.6433438020976551E-3</v>
      </c>
      <c r="CK58">
        <v>-1.5818715489512945E-2</v>
      </c>
      <c r="CL58">
        <v>-1.2088983793454813E-2</v>
      </c>
      <c r="CP58">
        <v>53</v>
      </c>
      <c r="CQ58">
        <f t="shared" si="36"/>
        <v>235308.17019333431</v>
      </c>
      <c r="CR58">
        <f t="shared" si="37"/>
        <v>404474.34762590617</v>
      </c>
      <c r="CS58">
        <f t="shared" si="38"/>
        <v>437157.92269988282</v>
      </c>
      <c r="CT58">
        <f t="shared" si="39"/>
        <v>215167.83545651459</v>
      </c>
      <c r="CU58">
        <f t="shared" si="47"/>
        <v>344704.7722999056</v>
      </c>
      <c r="CV58">
        <f t="shared" si="48"/>
        <v>366220.01663047582</v>
      </c>
      <c r="CW58">
        <f t="shared" si="43"/>
        <v>416533.59751140443</v>
      </c>
      <c r="CX58">
        <f t="shared" si="44"/>
        <v>707148.63000441145</v>
      </c>
      <c r="CY58">
        <f t="shared" si="45"/>
        <v>764175.92653504806</v>
      </c>
      <c r="DB58" t="b">
        <f t="shared" si="40"/>
        <v>0</v>
      </c>
      <c r="DC58" t="b">
        <f t="shared" si="41"/>
        <v>0</v>
      </c>
      <c r="DD58" t="b">
        <f t="shared" si="42"/>
        <v>0</v>
      </c>
    </row>
    <row r="59" spans="1:108" x14ac:dyDescent="0.25">
      <c r="A59" s="1">
        <v>44579</v>
      </c>
      <c r="B59">
        <v>139.770004</v>
      </c>
      <c r="C59">
        <v>142.36000100000001</v>
      </c>
      <c r="D59">
        <v>135.699997</v>
      </c>
      <c r="E59">
        <v>135.91999799999999</v>
      </c>
      <c r="F59">
        <v>135.91999799999999</v>
      </c>
      <c r="G59">
        <v>2677900</v>
      </c>
      <c r="H59">
        <f xml:space="preserve"> (ENPH[[#This Row],[Close]]-E58)/E58</f>
        <v>-4.8445800852584875E-2</v>
      </c>
      <c r="K59" s="1">
        <v>44579</v>
      </c>
      <c r="L59">
        <v>246.16999799999999</v>
      </c>
      <c r="M59">
        <v>252.13000500000001</v>
      </c>
      <c r="N59">
        <v>238.240005</v>
      </c>
      <c r="O59">
        <v>238.800003</v>
      </c>
      <c r="P59">
        <v>238.800003</v>
      </c>
      <c r="Q59">
        <v>864900</v>
      </c>
      <c r="R59">
        <f xml:space="preserve"> (SEDG4[[#This Row],[Close]]-O58)/O58</f>
        <v>-5.9212854593918347E-2</v>
      </c>
      <c r="V59">
        <f xml:space="preserve"> X59/(2*ENPH[[#This Row],[Close]])</f>
        <v>2317.6885092969078</v>
      </c>
      <c r="W59">
        <f xml:space="preserve"> X59/(2*SEDG4[[#This Row],[Close]])</f>
        <v>1319.1801239142308</v>
      </c>
      <c r="X59">
        <f t="shared" si="46"/>
        <v>630040.43509651732</v>
      </c>
      <c r="Y59">
        <f t="shared" si="23"/>
        <v>-5.4229298727195521E-2</v>
      </c>
      <c r="Z59">
        <f xml:space="preserve"> V59*ENPH[[#This Row],[Close]]</f>
        <v>315020.21754825866</v>
      </c>
      <c r="AA59">
        <f xml:space="preserve"> W59*SEDG4[[#This Row],[Close]]</f>
        <v>315020.21754825866</v>
      </c>
      <c r="AB59">
        <f t="shared" si="1"/>
        <v>630040.43509651732</v>
      </c>
      <c r="AC59" t="b">
        <f t="shared" si="2"/>
        <v>1</v>
      </c>
      <c r="AE59">
        <v>55</v>
      </c>
      <c r="AF59">
        <f t="shared" si="3"/>
        <v>328337.1197780167</v>
      </c>
      <c r="AG59">
        <f t="shared" si="4"/>
        <v>432198.86174861382</v>
      </c>
      <c r="AH59">
        <f t="shared" si="5"/>
        <v>469053.02825430949</v>
      </c>
      <c r="AJ59">
        <v>55</v>
      </c>
      <c r="AK59">
        <f t="shared" si="6"/>
        <v>294700.54741190554</v>
      </c>
      <c r="AL59">
        <f t="shared" si="7"/>
        <v>387922.14914424298</v>
      </c>
      <c r="AM59">
        <f t="shared" si="8"/>
        <v>421000.78201700788</v>
      </c>
      <c r="AO59">
        <v>55</v>
      </c>
      <c r="AP59">
        <f t="shared" si="9"/>
        <v>599382.0623802006</v>
      </c>
      <c r="AQ59">
        <f t="shared" si="10"/>
        <v>788982.51068414166</v>
      </c>
      <c r="AR59">
        <f t="shared" si="11"/>
        <v>856260.08911457227</v>
      </c>
      <c r="AT59">
        <f t="shared" si="12"/>
        <v>623037.66718992218</v>
      </c>
      <c r="AU59" t="b">
        <f t="shared" si="13"/>
        <v>0</v>
      </c>
      <c r="AV59">
        <f t="shared" si="14"/>
        <v>820121.01089285687</v>
      </c>
      <c r="AW59" t="b">
        <f t="shared" si="15"/>
        <v>0</v>
      </c>
      <c r="AX59">
        <f t="shared" si="16"/>
        <v>890053.81027131737</v>
      </c>
      <c r="AY59" t="b">
        <f t="shared" si="17"/>
        <v>0</v>
      </c>
      <c r="BA59">
        <v>55</v>
      </c>
      <c r="BB59">
        <f t="shared" si="18"/>
        <v>-3.2798357132437811E-4</v>
      </c>
      <c r="BC59">
        <f t="shared" si="19"/>
        <v>-9.348040672541169E-4</v>
      </c>
      <c r="BD59">
        <f t="shared" si="20"/>
        <v>-6.5221824714264205E-4</v>
      </c>
      <c r="BG59">
        <v>54</v>
      </c>
      <c r="BH59">
        <f t="shared" si="24"/>
        <v>53405.971412914514</v>
      </c>
      <c r="BI59">
        <f t="shared" si="25"/>
        <v>70299.697063938496</v>
      </c>
      <c r="BJ59">
        <f t="shared" si="26"/>
        <v>76294.244875592165</v>
      </c>
      <c r="BL59">
        <v>54</v>
      </c>
      <c r="BM59">
        <f t="shared" si="27"/>
        <v>37421.771643854758</v>
      </c>
      <c r="BN59">
        <f t="shared" si="28"/>
        <v>49259.270837319018</v>
      </c>
      <c r="BO59">
        <f t="shared" si="29"/>
        <v>53459.673776935364</v>
      </c>
      <c r="BQ59">
        <v>54</v>
      </c>
      <c r="BR59">
        <f t="shared" si="30"/>
        <v>84524.933892445857</v>
      </c>
      <c r="BS59">
        <f t="shared" si="31"/>
        <v>111262.41298087261</v>
      </c>
      <c r="BT59">
        <f t="shared" si="32"/>
        <v>120749.90556063692</v>
      </c>
      <c r="BV59" t="b">
        <f t="shared" si="33"/>
        <v>0</v>
      </c>
      <c r="BW59" t="b">
        <f t="shared" si="34"/>
        <v>0</v>
      </c>
      <c r="BX59" t="b">
        <f t="shared" si="35"/>
        <v>0</v>
      </c>
      <c r="CB59">
        <v>-4.8445800852584875E-2</v>
      </c>
      <c r="CC59">
        <v>54</v>
      </c>
      <c r="CD59">
        <v>-8.0156890912022778E-3</v>
      </c>
      <c r="CG59">
        <v>-5.9212854593918347E-2</v>
      </c>
      <c r="CH59">
        <v>-6.5618220305427759E-3</v>
      </c>
      <c r="CK59">
        <v>-5.4229298727195521E-2</v>
      </c>
      <c r="CL59">
        <v>-1.1969048676485135E-2</v>
      </c>
      <c r="CP59">
        <v>54</v>
      </c>
      <c r="CQ59">
        <f t="shared" si="36"/>
        <v>237517.68505459224</v>
      </c>
      <c r="CR59">
        <f t="shared" si="37"/>
        <v>408272.31214767677</v>
      </c>
      <c r="CS59">
        <f t="shared" si="38"/>
        <v>441262.78198347008</v>
      </c>
      <c r="CT59">
        <f t="shared" si="39"/>
        <v>217188.23504449002</v>
      </c>
      <c r="CU59">
        <f t="shared" si="47"/>
        <v>347941.50783916627</v>
      </c>
      <c r="CV59">
        <f t="shared" si="48"/>
        <v>369658.77767549315</v>
      </c>
      <c r="CW59">
        <f t="shared" si="43"/>
        <v>420444.79691072193</v>
      </c>
      <c r="CX59">
        <f t="shared" si="44"/>
        <v>713788.66891946131</v>
      </c>
      <c r="CY59">
        <f t="shared" si="45"/>
        <v>771351.44477101683</v>
      </c>
      <c r="DB59" t="b">
        <f t="shared" si="40"/>
        <v>0</v>
      </c>
      <c r="DC59" t="b">
        <f t="shared" si="41"/>
        <v>0</v>
      </c>
      <c r="DD59" t="b">
        <f t="shared" si="42"/>
        <v>0</v>
      </c>
    </row>
    <row r="60" spans="1:108" x14ac:dyDescent="0.25">
      <c r="A60" s="1">
        <v>44580</v>
      </c>
      <c r="B60">
        <v>138</v>
      </c>
      <c r="C60">
        <v>140.30999800000001</v>
      </c>
      <c r="D60">
        <v>133.66000399999999</v>
      </c>
      <c r="E60">
        <v>134.58000200000001</v>
      </c>
      <c r="F60">
        <v>134.58000200000001</v>
      </c>
      <c r="G60">
        <v>2400800</v>
      </c>
      <c r="H60">
        <f xml:space="preserve"> (ENPH[[#This Row],[Close]]-E59)/E59</f>
        <v>-9.8587111515406663E-3</v>
      </c>
      <c r="K60" s="1">
        <v>44580</v>
      </c>
      <c r="L60">
        <v>240</v>
      </c>
      <c r="M60">
        <v>244.490005</v>
      </c>
      <c r="N60">
        <v>231.740005</v>
      </c>
      <c r="O60">
        <v>232.08999600000001</v>
      </c>
      <c r="P60">
        <v>232.08999600000001</v>
      </c>
      <c r="Q60">
        <v>820200</v>
      </c>
      <c r="R60">
        <f xml:space="preserve"> (SEDG4[[#This Row],[Close]]-O59)/O59</f>
        <v>-2.8098856430918848E-2</v>
      </c>
      <c r="V60">
        <f xml:space="preserve"> X60/(2*ENPH[[#This Row],[Close]])</f>
        <v>2294.8753513134043</v>
      </c>
      <c r="W60">
        <f xml:space="preserve"> X60/(2*SEDG4[[#This Row],[Close]])</f>
        <v>1330.7093571129565</v>
      </c>
      <c r="X60">
        <f t="shared" si="46"/>
        <v>617688.65873901732</v>
      </c>
      <c r="Y60">
        <f t="shared" si="23"/>
        <v>-1.9604735933508463E-2</v>
      </c>
      <c r="Z60">
        <f xml:space="preserve"> V60*ENPH[[#This Row],[Close]]</f>
        <v>308844.32936950866</v>
      </c>
      <c r="AA60">
        <f xml:space="preserve"> W60*SEDG4[[#This Row],[Close]]</f>
        <v>308844.32936950866</v>
      </c>
      <c r="AB60">
        <f t="shared" si="1"/>
        <v>617688.65873901732</v>
      </c>
      <c r="AC60" t="b">
        <f t="shared" si="2"/>
        <v>1</v>
      </c>
      <c r="AE60">
        <v>56</v>
      </c>
      <c r="AF60">
        <f t="shared" si="3"/>
        <v>331308.55699376302</v>
      </c>
      <c r="AG60">
        <f t="shared" si="4"/>
        <v>436110.24338974926</v>
      </c>
      <c r="AH60">
        <f t="shared" si="5"/>
        <v>473297.93856251857</v>
      </c>
      <c r="AJ60">
        <v>56</v>
      </c>
      <c r="AK60">
        <f t="shared" si="6"/>
        <v>297367.57505310734</v>
      </c>
      <c r="AL60">
        <f t="shared" si="7"/>
        <v>391432.82838623313</v>
      </c>
      <c r="AM60">
        <f t="shared" si="8"/>
        <v>424810.82150443905</v>
      </c>
      <c r="AO60">
        <v>56</v>
      </c>
      <c r="AP60">
        <f t="shared" si="9"/>
        <v>604806.44500197517</v>
      </c>
      <c r="AQ60">
        <f t="shared" si="10"/>
        <v>796122.76944137551</v>
      </c>
      <c r="AR60">
        <f t="shared" si="11"/>
        <v>864009.20714567869</v>
      </c>
      <c r="AT60">
        <f t="shared" si="12"/>
        <v>628676.13204687042</v>
      </c>
      <c r="AU60" t="b">
        <f t="shared" si="13"/>
        <v>0</v>
      </c>
      <c r="AV60">
        <f t="shared" si="14"/>
        <v>827543.07177598239</v>
      </c>
      <c r="AW60" t="b">
        <f t="shared" si="15"/>
        <v>0</v>
      </c>
      <c r="AX60">
        <f t="shared" si="16"/>
        <v>898108.76006695768</v>
      </c>
      <c r="AY60" t="b">
        <f t="shared" si="17"/>
        <v>0</v>
      </c>
      <c r="BA60">
        <v>56</v>
      </c>
      <c r="BB60">
        <f t="shared" si="18"/>
        <v>2.55606536908143E-5</v>
      </c>
      <c r="BC60">
        <f t="shared" si="19"/>
        <v>-1.0374995128415068E-4</v>
      </c>
      <c r="BD60">
        <f t="shared" si="20"/>
        <v>-4.2933617711224562E-5</v>
      </c>
      <c r="BG60">
        <v>55</v>
      </c>
      <c r="BH60">
        <f t="shared" si="24"/>
        <v>53898.202753077043</v>
      </c>
      <c r="BI60">
        <f t="shared" si="25"/>
        <v>70947.634236193247</v>
      </c>
      <c r="BJ60">
        <f t="shared" si="26"/>
        <v>76997.43250439578</v>
      </c>
      <c r="BL60">
        <v>55</v>
      </c>
      <c r="BM60">
        <f t="shared" si="27"/>
        <v>37766.680056157435</v>
      </c>
      <c r="BN60">
        <f t="shared" si="28"/>
        <v>49713.282931064387</v>
      </c>
      <c r="BO60">
        <f t="shared" si="29"/>
        <v>53952.400080224907</v>
      </c>
      <c r="BQ60">
        <v>55</v>
      </c>
      <c r="BR60">
        <f t="shared" si="30"/>
        <v>85303.982009843588</v>
      </c>
      <c r="BS60">
        <f t="shared" si="31"/>
        <v>112287.89468642676</v>
      </c>
      <c r="BT60">
        <f t="shared" si="32"/>
        <v>121862.83144263369</v>
      </c>
      <c r="BV60" t="b">
        <f t="shared" si="33"/>
        <v>0</v>
      </c>
      <c r="BW60" t="b">
        <f t="shared" si="34"/>
        <v>0</v>
      </c>
      <c r="BX60" t="b">
        <f t="shared" si="35"/>
        <v>0</v>
      </c>
      <c r="CB60">
        <v>-9.8587111515406663E-3</v>
      </c>
      <c r="CC60">
        <v>55</v>
      </c>
      <c r="CD60">
        <v>-7.8527442039486063E-3</v>
      </c>
      <c r="CG60">
        <v>-2.8098856430918848E-2</v>
      </c>
      <c r="CH60">
        <v>-6.3042286600837969E-3</v>
      </c>
      <c r="CK60">
        <v>-1.9604735933508463E-2</v>
      </c>
      <c r="CL60">
        <v>-9.8137436413665742E-3</v>
      </c>
      <c r="CP60">
        <v>55</v>
      </c>
      <c r="CQ60">
        <f t="shared" si="36"/>
        <v>239706.83441998422</v>
      </c>
      <c r="CR60">
        <f t="shared" si="37"/>
        <v>412035.27014737169</v>
      </c>
      <c r="CS60">
        <f t="shared" si="38"/>
        <v>445329.80604076578</v>
      </c>
      <c r="CT60">
        <f t="shared" si="39"/>
        <v>219190.01224608647</v>
      </c>
      <c r="CU60">
        <f t="shared" si="47"/>
        <v>351148.40980482229</v>
      </c>
      <c r="CV60">
        <f t="shared" si="48"/>
        <v>373065.84304148424</v>
      </c>
      <c r="CW60">
        <f t="shared" si="43"/>
        <v>424319.9460817317</v>
      </c>
      <c r="CX60">
        <f t="shared" si="44"/>
        <v>720367.50540159468</v>
      </c>
      <c r="CY60">
        <f t="shared" si="45"/>
        <v>778460.82496486034</v>
      </c>
      <c r="DB60" t="b">
        <f t="shared" si="40"/>
        <v>0</v>
      </c>
      <c r="DC60" t="b">
        <f t="shared" si="41"/>
        <v>0</v>
      </c>
      <c r="DD60" t="b">
        <f t="shared" si="42"/>
        <v>0</v>
      </c>
    </row>
    <row r="61" spans="1:108" x14ac:dyDescent="0.25">
      <c r="A61" s="1">
        <v>44581</v>
      </c>
      <c r="B61">
        <v>137.970001</v>
      </c>
      <c r="C61">
        <v>143.08999600000001</v>
      </c>
      <c r="D61">
        <v>134.300003</v>
      </c>
      <c r="E61">
        <v>134.69000199999999</v>
      </c>
      <c r="F61">
        <v>134.69000199999999</v>
      </c>
      <c r="G61">
        <v>2711200</v>
      </c>
      <c r="H61">
        <f xml:space="preserve"> (ENPH[[#This Row],[Close]]-E60)/E60</f>
        <v>8.1735769330710227E-4</v>
      </c>
      <c r="K61" s="1">
        <v>44581</v>
      </c>
      <c r="L61">
        <v>237</v>
      </c>
      <c r="M61">
        <v>246.520004</v>
      </c>
      <c r="N61">
        <v>230.91999799999999</v>
      </c>
      <c r="O61">
        <v>231.320007</v>
      </c>
      <c r="P61">
        <v>231.320007</v>
      </c>
      <c r="Q61">
        <v>940100</v>
      </c>
      <c r="R61">
        <f xml:space="preserve"> (SEDG4[[#This Row],[Close]]-O60)/O60</f>
        <v>-3.3176311485653589E-3</v>
      </c>
      <c r="V61">
        <f xml:space="preserve"> X61/(2*ENPH[[#This Row],[Close]])</f>
        <v>2289.8530967611327</v>
      </c>
      <c r="W61">
        <f xml:space="preserve"> X61/(2*SEDG4[[#This Row],[Close]])</f>
        <v>1333.3058483889081</v>
      </c>
      <c r="X61">
        <f t="shared" si="46"/>
        <v>616840.63636492635</v>
      </c>
      <c r="Y61">
        <f t="shared" si="23"/>
        <v>-1.3728961380352518E-3</v>
      </c>
      <c r="Z61">
        <f xml:space="preserve"> V61*ENPH[[#This Row],[Close]]</f>
        <v>308420.31818246312</v>
      </c>
      <c r="AA61">
        <f xml:space="preserve"> W61*SEDG4[[#This Row],[Close]]</f>
        <v>308420.31818246318</v>
      </c>
      <c r="AB61">
        <f t="shared" si="1"/>
        <v>616840.63636492635</v>
      </c>
      <c r="AC61" t="b">
        <f t="shared" si="2"/>
        <v>1</v>
      </c>
      <c r="AE61">
        <v>57</v>
      </c>
      <c r="AF61">
        <f t="shared" si="3"/>
        <v>334253.57986183994</v>
      </c>
      <c r="AG61">
        <f t="shared" si="4"/>
        <v>439986.85512425873</v>
      </c>
      <c r="AH61">
        <f t="shared" si="5"/>
        <v>477505.11408834276</v>
      </c>
      <c r="AJ61">
        <v>57</v>
      </c>
      <c r="AK61">
        <f t="shared" si="6"/>
        <v>300010.89437061135</v>
      </c>
      <c r="AL61">
        <f t="shared" si="7"/>
        <v>394912.29973274353</v>
      </c>
      <c r="AM61">
        <f t="shared" si="8"/>
        <v>428586.99195801618</v>
      </c>
      <c r="AO61">
        <v>57</v>
      </c>
      <c r="AP61">
        <f t="shared" si="9"/>
        <v>610182.6080188714</v>
      </c>
      <c r="AQ61">
        <f t="shared" si="10"/>
        <v>803199.55545341235</v>
      </c>
      <c r="AR61">
        <f t="shared" si="11"/>
        <v>871689.44002695906</v>
      </c>
      <c r="AT61">
        <f t="shared" si="12"/>
        <v>634264.47423245129</v>
      </c>
      <c r="AU61" t="b">
        <f t="shared" si="13"/>
        <v>0</v>
      </c>
      <c r="AV61">
        <f t="shared" si="14"/>
        <v>834899.1548570022</v>
      </c>
      <c r="AW61" t="b">
        <f t="shared" si="15"/>
        <v>0</v>
      </c>
      <c r="AX61">
        <f t="shared" si="16"/>
        <v>906092.10604635894</v>
      </c>
      <c r="AY61" t="b">
        <f t="shared" si="17"/>
        <v>0</v>
      </c>
      <c r="BA61">
        <v>57</v>
      </c>
      <c r="BB61">
        <f t="shared" si="18"/>
        <v>-1.8922200665030177E-3</v>
      </c>
      <c r="BC61">
        <f t="shared" si="19"/>
        <v>-1.3991430914267694E-3</v>
      </c>
      <c r="BD61">
        <f t="shared" si="20"/>
        <v>-1.6315517444438743E-3</v>
      </c>
      <c r="BG61">
        <v>56</v>
      </c>
      <c r="BH61">
        <f t="shared" si="24"/>
        <v>54385.979236072984</v>
      </c>
      <c r="BI61">
        <f t="shared" si="25"/>
        <v>71589.707361769542</v>
      </c>
      <c r="BJ61">
        <f t="shared" si="26"/>
        <v>77694.256051532822</v>
      </c>
      <c r="BL61">
        <v>56</v>
      </c>
      <c r="BM61">
        <f t="shared" si="27"/>
        <v>38108.466932736985</v>
      </c>
      <c r="BN61">
        <f t="shared" si="28"/>
        <v>50163.186064521135</v>
      </c>
      <c r="BO61">
        <f t="shared" si="29"/>
        <v>54440.667046767121</v>
      </c>
      <c r="BQ61">
        <v>56</v>
      </c>
      <c r="BR61">
        <f t="shared" si="30"/>
        <v>86075.979482949202</v>
      </c>
      <c r="BS61">
        <f t="shared" si="31"/>
        <v>113304.0954418413</v>
      </c>
      <c r="BT61">
        <f t="shared" si="32"/>
        <v>122965.68497564172</v>
      </c>
      <c r="BV61" t="b">
        <f t="shared" si="33"/>
        <v>0</v>
      </c>
      <c r="BW61" t="b">
        <f t="shared" si="34"/>
        <v>0</v>
      </c>
      <c r="BX61" t="b">
        <f t="shared" si="35"/>
        <v>0</v>
      </c>
      <c r="CB61">
        <v>8.1735769330710227E-4</v>
      </c>
      <c r="CC61">
        <v>56</v>
      </c>
      <c r="CD61">
        <v>-7.4829880370471174E-3</v>
      </c>
      <c r="CG61">
        <v>-3.3176311485653589E-3</v>
      </c>
      <c r="CH61">
        <v>-6.2847484591069518E-3</v>
      </c>
      <c r="CK61">
        <v>-1.3728961380352518E-3</v>
      </c>
      <c r="CL61">
        <v>-8.9766335876072783E-3</v>
      </c>
      <c r="CP61">
        <v>56</v>
      </c>
      <c r="CQ61">
        <f t="shared" si="36"/>
        <v>241876.17125630006</v>
      </c>
      <c r="CR61">
        <f t="shared" si="37"/>
        <v>415764.17212697054</v>
      </c>
      <c r="CS61">
        <f t="shared" si="38"/>
        <v>449360.02217912168</v>
      </c>
      <c r="CT61">
        <f t="shared" si="39"/>
        <v>221173.67269894137</v>
      </c>
      <c r="CU61">
        <f t="shared" si="47"/>
        <v>354326.28824223339</v>
      </c>
      <c r="CV61">
        <f t="shared" si="48"/>
        <v>376442.07333395543</v>
      </c>
      <c r="CW61">
        <f t="shared" si="43"/>
        <v>428160.02386527072</v>
      </c>
      <c r="CX61">
        <f t="shared" si="44"/>
        <v>726886.80122782313</v>
      </c>
      <c r="CY61">
        <f t="shared" si="45"/>
        <v>785505.86290594086</v>
      </c>
      <c r="DB61" t="b">
        <f t="shared" si="40"/>
        <v>0</v>
      </c>
      <c r="DC61" t="b">
        <f t="shared" si="41"/>
        <v>0</v>
      </c>
      <c r="DD61" t="b">
        <f t="shared" si="42"/>
        <v>0</v>
      </c>
    </row>
    <row r="62" spans="1:108" x14ac:dyDescent="0.25">
      <c r="A62" s="1">
        <v>44582</v>
      </c>
      <c r="B62">
        <v>131.89999399999999</v>
      </c>
      <c r="C62">
        <v>133.55999800000001</v>
      </c>
      <c r="D62">
        <v>124.519997</v>
      </c>
      <c r="E62">
        <v>126.019997</v>
      </c>
      <c r="F62">
        <v>126.019997</v>
      </c>
      <c r="G62">
        <v>3896900</v>
      </c>
      <c r="H62">
        <f xml:space="preserve"> (ENPH[[#This Row],[Close]]-E61)/E61</f>
        <v>-6.4370071061399123E-2</v>
      </c>
      <c r="K62" s="1">
        <v>44582</v>
      </c>
      <c r="L62">
        <v>227.61999499999999</v>
      </c>
      <c r="M62">
        <v>232.759995</v>
      </c>
      <c r="N62">
        <v>218.88999899999999</v>
      </c>
      <c r="O62">
        <v>220.30999800000001</v>
      </c>
      <c r="P62">
        <v>220.30999800000001</v>
      </c>
      <c r="Q62">
        <v>999900</v>
      </c>
      <c r="R62">
        <f xml:space="preserve"> (SEDG4[[#This Row],[Close]]-O61)/O61</f>
        <v>-4.7596440717728304E-2</v>
      </c>
      <c r="V62">
        <f xml:space="preserve"> X62/(2*ENPH[[#This Row],[Close]])</f>
        <v>2311.5553145329491</v>
      </c>
      <c r="W62">
        <f xml:space="preserve"> X62/(2*SEDG4[[#This Row],[Close]])</f>
        <v>1322.2377397632961</v>
      </c>
      <c r="X62">
        <f t="shared" si="46"/>
        <v>582604.38760555256</v>
      </c>
      <c r="Y62">
        <f t="shared" si="23"/>
        <v>-5.550258322981081E-2</v>
      </c>
      <c r="Z62">
        <f xml:space="preserve"> V62*ENPH[[#This Row],[Close]]</f>
        <v>291302.19380277628</v>
      </c>
      <c r="AA62">
        <f xml:space="preserve"> W62*SEDG4[[#This Row],[Close]]</f>
        <v>291302.19380277628</v>
      </c>
      <c r="AB62">
        <f t="shared" si="1"/>
        <v>582604.38760555256</v>
      </c>
      <c r="AC62" t="b">
        <f t="shared" si="2"/>
        <v>1</v>
      </c>
      <c r="AE62">
        <v>58</v>
      </c>
      <c r="AF62">
        <f t="shared" si="3"/>
        <v>337172.88052810729</v>
      </c>
      <c r="AG62">
        <f t="shared" si="4"/>
        <v>443829.60804210039</v>
      </c>
      <c r="AH62">
        <f t="shared" si="5"/>
        <v>481675.54361158179</v>
      </c>
      <c r="AJ62">
        <v>58</v>
      </c>
      <c r="AK62">
        <f t="shared" si="6"/>
        <v>302631.12660323421</v>
      </c>
      <c r="AL62">
        <f t="shared" si="7"/>
        <v>398361.3809369104</v>
      </c>
      <c r="AM62">
        <f t="shared" si="8"/>
        <v>432330.18086176319</v>
      </c>
      <c r="AO62">
        <v>58</v>
      </c>
      <c r="AP62">
        <f t="shared" si="9"/>
        <v>615511.81494874333</v>
      </c>
      <c r="AQ62">
        <f t="shared" si="10"/>
        <v>810214.53192232538</v>
      </c>
      <c r="AR62">
        <f t="shared" si="11"/>
        <v>879302.59278391895</v>
      </c>
      <c r="AT62">
        <f t="shared" si="12"/>
        <v>639804.0071313415</v>
      </c>
      <c r="AU62" t="b">
        <f t="shared" si="13"/>
        <v>0</v>
      </c>
      <c r="AV62">
        <f t="shared" si="14"/>
        <v>842190.98897901084</v>
      </c>
      <c r="AW62" t="b">
        <f t="shared" si="15"/>
        <v>0</v>
      </c>
      <c r="AX62">
        <f t="shared" si="16"/>
        <v>914005.72447334498</v>
      </c>
      <c r="AY62" t="b">
        <f t="shared" si="17"/>
        <v>0</v>
      </c>
      <c r="BA62">
        <v>58</v>
      </c>
      <c r="BB62">
        <f t="shared" si="18"/>
        <v>4.5608024149928279E-4</v>
      </c>
      <c r="BC62">
        <f t="shared" si="19"/>
        <v>6.973581157075962E-4</v>
      </c>
      <c r="BD62">
        <f t="shared" si="20"/>
        <v>5.8470105926998678E-4</v>
      </c>
      <c r="BG62">
        <v>57</v>
      </c>
      <c r="BH62">
        <f t="shared" si="24"/>
        <v>54869.419669988507</v>
      </c>
      <c r="BI62">
        <f t="shared" si="25"/>
        <v>72226.072830903242</v>
      </c>
      <c r="BJ62">
        <f t="shared" si="26"/>
        <v>78384.885242840726</v>
      </c>
      <c r="BL62">
        <v>57</v>
      </c>
      <c r="BM62">
        <f t="shared" si="27"/>
        <v>38447.215522880942</v>
      </c>
      <c r="BN62">
        <f t="shared" si="28"/>
        <v>50609.089820935114</v>
      </c>
      <c r="BO62">
        <f t="shared" si="29"/>
        <v>54924.593604115624</v>
      </c>
      <c r="BQ62">
        <v>57</v>
      </c>
      <c r="BR62">
        <f t="shared" si="30"/>
        <v>86841.114347770039</v>
      </c>
      <c r="BS62">
        <f t="shared" si="31"/>
        <v>114311.26276390138</v>
      </c>
      <c r="BT62">
        <f t="shared" si="32"/>
        <v>124058.73478252863</v>
      </c>
      <c r="BV62" t="b">
        <f t="shared" si="33"/>
        <v>0</v>
      </c>
      <c r="BW62" t="b">
        <f t="shared" si="34"/>
        <v>0</v>
      </c>
      <c r="BX62" t="b">
        <f t="shared" si="35"/>
        <v>0</v>
      </c>
      <c r="CB62">
        <v>-6.4370071061399123E-2</v>
      </c>
      <c r="CC62">
        <v>57</v>
      </c>
      <c r="CD62">
        <v>-7.3379697132006623E-3</v>
      </c>
      <c r="CG62">
        <v>-4.7596440717728304E-2</v>
      </c>
      <c r="CH62">
        <v>-6.1099616385859633E-3</v>
      </c>
      <c r="CK62">
        <v>-5.550258322981081E-2</v>
      </c>
      <c r="CL62">
        <v>-7.5341633156404643E-3</v>
      </c>
      <c r="CP62">
        <v>57</v>
      </c>
      <c r="CQ62">
        <f t="shared" si="36"/>
        <v>244026.22395055057</v>
      </c>
      <c r="CR62">
        <f t="shared" si="37"/>
        <v>419459.92633794324</v>
      </c>
      <c r="CS62">
        <f t="shared" si="38"/>
        <v>453354.41204132489</v>
      </c>
      <c r="CT62">
        <f t="shared" si="39"/>
        <v>223139.69956472859</v>
      </c>
      <c r="CU62">
        <f t="shared" si="47"/>
        <v>357475.91718964942</v>
      </c>
      <c r="CV62">
        <f t="shared" si="48"/>
        <v>379788.29090386763</v>
      </c>
      <c r="CW62">
        <f t="shared" si="43"/>
        <v>431965.96559198358</v>
      </c>
      <c r="CX62">
        <f t="shared" si="44"/>
        <v>733348.14430795226</v>
      </c>
      <c r="CY62">
        <f t="shared" si="45"/>
        <v>792488.27455946791</v>
      </c>
      <c r="DB62" t="b">
        <f t="shared" si="40"/>
        <v>0</v>
      </c>
      <c r="DC62" t="b">
        <f t="shared" si="41"/>
        <v>0</v>
      </c>
      <c r="DD62" t="b">
        <f t="shared" si="42"/>
        <v>0</v>
      </c>
    </row>
    <row r="63" spans="1:108" x14ac:dyDescent="0.25">
      <c r="A63" s="1">
        <v>44585</v>
      </c>
      <c r="B63">
        <v>119.769997</v>
      </c>
      <c r="C63">
        <v>128.30999800000001</v>
      </c>
      <c r="D63">
        <v>113.400002</v>
      </c>
      <c r="E63">
        <v>128.10000600000001</v>
      </c>
      <c r="F63">
        <v>128.10000600000001</v>
      </c>
      <c r="G63">
        <v>5200000</v>
      </c>
      <c r="H63">
        <f xml:space="preserve"> (ENPH[[#This Row],[Close]]-E62)/E62</f>
        <v>1.6505388426568554E-2</v>
      </c>
      <c r="K63" s="1">
        <v>44585</v>
      </c>
      <c r="L63">
        <v>208</v>
      </c>
      <c r="M63">
        <v>225.91000399999999</v>
      </c>
      <c r="N63">
        <v>200.86000100000001</v>
      </c>
      <c r="O63">
        <v>225.86999499999999</v>
      </c>
      <c r="P63">
        <v>225.86999499999999</v>
      </c>
      <c r="Q63">
        <v>2059100</v>
      </c>
      <c r="R63">
        <f xml:space="preserve"> (SEDG4[[#This Row],[Close]]-O62)/O62</f>
        <v>2.5237152423740576E-2</v>
      </c>
      <c r="V63">
        <f xml:space="preserve"> X63/(2*ENPH[[#This Row],[Close]])</f>
        <v>2322.1403023610164</v>
      </c>
      <c r="W63">
        <f xml:space="preserve"> X63/(2*SEDG4[[#This Row],[Close]])</f>
        <v>1316.9796486925502</v>
      </c>
      <c r="X63">
        <f t="shared" si="46"/>
        <v>594932.37333057611</v>
      </c>
      <c r="Y63">
        <f t="shared" si="23"/>
        <v>2.1160131964831873E-2</v>
      </c>
      <c r="Z63">
        <f xml:space="preserve"> V63*ENPH[[#This Row],[Close]]</f>
        <v>297466.18666528806</v>
      </c>
      <c r="AA63">
        <f xml:space="preserve"> W63*SEDG4[[#This Row],[Close]]</f>
        <v>297466.18666528806</v>
      </c>
      <c r="AB63">
        <f t="shared" si="1"/>
        <v>594932.37333057611</v>
      </c>
      <c r="AC63" t="b">
        <f t="shared" si="2"/>
        <v>1</v>
      </c>
      <c r="AE63">
        <v>59</v>
      </c>
      <c r="AF63">
        <f t="shared" si="3"/>
        <v>340067.12142867787</v>
      </c>
      <c r="AG63">
        <f t="shared" si="4"/>
        <v>447639.37412550458</v>
      </c>
      <c r="AH63">
        <f t="shared" si="5"/>
        <v>485810.17346953985</v>
      </c>
      <c r="AJ63">
        <v>59</v>
      </c>
      <c r="AK63">
        <f t="shared" si="6"/>
        <v>305228.86632366775</v>
      </c>
      <c r="AL63">
        <f t="shared" si="7"/>
        <v>401780.8546505422</v>
      </c>
      <c r="AM63">
        <f t="shared" si="8"/>
        <v>436041.23760523961</v>
      </c>
      <c r="AO63">
        <v>59</v>
      </c>
      <c r="AP63">
        <f t="shared" si="9"/>
        <v>620795.27507406205</v>
      </c>
      <c r="AQ63">
        <f t="shared" si="10"/>
        <v>817169.29065871437</v>
      </c>
      <c r="AR63">
        <f t="shared" si="11"/>
        <v>886850.39296294574</v>
      </c>
      <c r="AT63">
        <f t="shared" si="12"/>
        <v>645295.98775234562</v>
      </c>
      <c r="AU63" t="b">
        <f t="shared" si="13"/>
        <v>0</v>
      </c>
      <c r="AV63">
        <f t="shared" si="14"/>
        <v>849420.22877604677</v>
      </c>
      <c r="AW63" t="b">
        <f t="shared" si="15"/>
        <v>0</v>
      </c>
      <c r="AX63">
        <f t="shared" si="16"/>
        <v>921851.41107477946</v>
      </c>
      <c r="AY63" t="b">
        <f t="shared" si="17"/>
        <v>0</v>
      </c>
      <c r="BA63">
        <v>59</v>
      </c>
      <c r="BB63">
        <f t="shared" si="18"/>
        <v>-1.1050731661562177E-3</v>
      </c>
      <c r="BC63">
        <f t="shared" si="19"/>
        <v>-1.5099035821709832E-3</v>
      </c>
      <c r="BD63">
        <f t="shared" si="20"/>
        <v>-1.3217424702198391E-3</v>
      </c>
      <c r="BG63">
        <v>58</v>
      </c>
      <c r="BH63">
        <f t="shared" si="24"/>
        <v>55348.637674075435</v>
      </c>
      <c r="BI63">
        <f t="shared" si="25"/>
        <v>72856.880203629902</v>
      </c>
      <c r="BJ63">
        <f t="shared" si="26"/>
        <v>79069.482391536323</v>
      </c>
      <c r="BL63">
        <v>58</v>
      </c>
      <c r="BM63">
        <f t="shared" si="27"/>
        <v>38783.005440040433</v>
      </c>
      <c r="BN63">
        <f t="shared" si="28"/>
        <v>51051.09899760424</v>
      </c>
      <c r="BO63">
        <f t="shared" si="29"/>
        <v>55404.293485772039</v>
      </c>
      <c r="BQ63">
        <v>58</v>
      </c>
      <c r="BR63">
        <f t="shared" si="30"/>
        <v>87599.566428012928</v>
      </c>
      <c r="BS63">
        <f t="shared" si="31"/>
        <v>115309.63335932314</v>
      </c>
      <c r="BT63">
        <f t="shared" si="32"/>
        <v>125142.23775430417</v>
      </c>
      <c r="BV63" t="b">
        <f t="shared" si="33"/>
        <v>0</v>
      </c>
      <c r="BW63" t="b">
        <f t="shared" si="34"/>
        <v>0</v>
      </c>
      <c r="BX63" t="b">
        <f t="shared" si="35"/>
        <v>0</v>
      </c>
      <c r="CB63">
        <v>1.6505388426568554E-2</v>
      </c>
      <c r="CC63">
        <v>58</v>
      </c>
      <c r="CD63">
        <v>-7.0667168984797453E-3</v>
      </c>
      <c r="CG63">
        <v>2.5237152423740576E-2</v>
      </c>
      <c r="CH63">
        <v>-5.8678452358658702E-3</v>
      </c>
      <c r="CK63">
        <v>2.1160131964831873E-2</v>
      </c>
      <c r="CL63">
        <v>-6.2335656807961963E-3</v>
      </c>
      <c r="CP63">
        <v>58</v>
      </c>
      <c r="CQ63">
        <f t="shared" si="36"/>
        <v>246157.49781292776</v>
      </c>
      <c r="CR63">
        <f t="shared" si="37"/>
        <v>423123.40136470873</v>
      </c>
      <c r="CS63">
        <f t="shared" si="38"/>
        <v>457313.9143978128</v>
      </c>
      <c r="CT63">
        <f t="shared" si="39"/>
        <v>225088.55490347848</v>
      </c>
      <c r="CU63">
        <f t="shared" si="47"/>
        <v>360598.03687990858</v>
      </c>
      <c r="CV63">
        <f t="shared" si="48"/>
        <v>383105.28218675673</v>
      </c>
      <c r="CW63">
        <f t="shared" si="43"/>
        <v>435738.6657428054</v>
      </c>
      <c r="CX63">
        <f t="shared" si="44"/>
        <v>739753.05320128123</v>
      </c>
      <c r="CY63">
        <f t="shared" si="45"/>
        <v>799409.70094744186</v>
      </c>
      <c r="DB63" t="b">
        <f t="shared" si="40"/>
        <v>0</v>
      </c>
      <c r="DC63" t="b">
        <f t="shared" si="41"/>
        <v>0</v>
      </c>
      <c r="DD63" t="b">
        <f t="shared" si="42"/>
        <v>0</v>
      </c>
    </row>
    <row r="64" spans="1:108" x14ac:dyDescent="0.25">
      <c r="A64" s="1">
        <v>44586</v>
      </c>
      <c r="B64">
        <v>123</v>
      </c>
      <c r="C64">
        <v>127.459999</v>
      </c>
      <c r="D64">
        <v>120.480003</v>
      </c>
      <c r="E64">
        <v>122.650002</v>
      </c>
      <c r="F64">
        <v>122.650002</v>
      </c>
      <c r="G64">
        <v>2785800</v>
      </c>
      <c r="H64">
        <f xml:space="preserve"> (ENPH[[#This Row],[Close]]-E63)/E63</f>
        <v>-4.2544916040050826E-2</v>
      </c>
      <c r="K64" s="1">
        <v>44586</v>
      </c>
      <c r="L64">
        <v>218.55999800000001</v>
      </c>
      <c r="M64">
        <v>219.720001</v>
      </c>
      <c r="N64">
        <v>210.598007</v>
      </c>
      <c r="O64">
        <v>212.740005</v>
      </c>
      <c r="P64">
        <v>212.740005</v>
      </c>
      <c r="Q64">
        <v>1069600</v>
      </c>
      <c r="R64">
        <f xml:space="preserve"> (SEDG4[[#This Row],[Close]]-O63)/O63</f>
        <v>-5.8130740207436554E-2</v>
      </c>
      <c r="V64">
        <f xml:space="preserve"> X64/(2*ENPH[[#This Row],[Close]])</f>
        <v>2301.9089892052571</v>
      </c>
      <c r="W64">
        <f xml:space="preserve"> X64/(2*SEDG4[[#This Row],[Close]])</f>
        <v>1327.1088441021836</v>
      </c>
      <c r="X64">
        <f t="shared" si="46"/>
        <v>564658.28425968555</v>
      </c>
      <c r="Y64">
        <f t="shared" si="23"/>
        <v>-5.0886605651342946E-2</v>
      </c>
      <c r="Z64">
        <f xml:space="preserve"> V64*ENPH[[#This Row],[Close]]</f>
        <v>282329.14212984277</v>
      </c>
      <c r="AA64">
        <f xml:space="preserve"> W64*SEDG4[[#This Row],[Close]]</f>
        <v>282329.14212984277</v>
      </c>
      <c r="AB64">
        <f t="shared" si="1"/>
        <v>564658.28425968555</v>
      </c>
      <c r="AC64" t="b">
        <f t="shared" si="2"/>
        <v>1</v>
      </c>
      <c r="AE64">
        <v>60</v>
      </c>
      <c r="AF64">
        <f t="shared" si="3"/>
        <v>342936.937045214</v>
      </c>
      <c r="AG64">
        <f t="shared" si="4"/>
        <v>451416.98855951644</v>
      </c>
      <c r="AH64">
        <f t="shared" si="5"/>
        <v>489909.91006459144</v>
      </c>
      <c r="AJ64">
        <v>60</v>
      </c>
      <c r="AK64">
        <f t="shared" si="6"/>
        <v>307804.68301395309</v>
      </c>
      <c r="AL64">
        <f t="shared" si="7"/>
        <v>405171.47049795865</v>
      </c>
      <c r="AM64">
        <f t="shared" si="8"/>
        <v>439720.97573421866</v>
      </c>
      <c r="AO64">
        <v>60</v>
      </c>
      <c r="AP64">
        <f t="shared" si="9"/>
        <v>626034.14664622315</v>
      </c>
      <c r="AQ64">
        <f t="shared" si="10"/>
        <v>824065.35629962035</v>
      </c>
      <c r="AR64">
        <f t="shared" si="11"/>
        <v>894334.49520889018</v>
      </c>
      <c r="AT64">
        <f t="shared" si="12"/>
        <v>650741.62005916703</v>
      </c>
      <c r="AU64" t="b">
        <f t="shared" si="13"/>
        <v>0</v>
      </c>
      <c r="AV64">
        <f t="shared" si="14"/>
        <v>856588.45905747509</v>
      </c>
      <c r="AW64" t="b">
        <f t="shared" si="15"/>
        <v>0</v>
      </c>
      <c r="AX64">
        <f t="shared" si="16"/>
        <v>929630.88579881005</v>
      </c>
      <c r="AY64" t="b">
        <f t="shared" si="17"/>
        <v>0</v>
      </c>
      <c r="BA64">
        <v>60</v>
      </c>
      <c r="BB64">
        <f t="shared" si="18"/>
        <v>-1.7916250701968664E-4</v>
      </c>
      <c r="BC64">
        <f t="shared" si="19"/>
        <v>1.595279745214437E-4</v>
      </c>
      <c r="BD64">
        <f t="shared" si="20"/>
        <v>7.2448739438186037E-7</v>
      </c>
      <c r="BG64">
        <v>59</v>
      </c>
      <c r="BH64">
        <f t="shared" si="24"/>
        <v>55823.741990579969</v>
      </c>
      <c r="BI64">
        <f t="shared" si="25"/>
        <v>73482.272620253221</v>
      </c>
      <c r="BJ64">
        <f t="shared" si="26"/>
        <v>79748.202843685664</v>
      </c>
      <c r="BL64">
        <v>59</v>
      </c>
      <c r="BM64">
        <f t="shared" si="27"/>
        <v>39115.912880329837</v>
      </c>
      <c r="BN64">
        <f t="shared" si="28"/>
        <v>51489.313893495397</v>
      </c>
      <c r="BO64">
        <f t="shared" si="29"/>
        <v>55879.875543328337</v>
      </c>
      <c r="BQ64">
        <v>59</v>
      </c>
      <c r="BR64">
        <f t="shared" si="30"/>
        <v>88351.507828611633</v>
      </c>
      <c r="BS64">
        <f t="shared" si="31"/>
        <v>116299.43377439695</v>
      </c>
      <c r="BT64">
        <f t="shared" si="32"/>
        <v>126216.43975515946</v>
      </c>
      <c r="BV64" t="b">
        <f t="shared" si="33"/>
        <v>0</v>
      </c>
      <c r="BW64" t="b">
        <f t="shared" si="34"/>
        <v>0</v>
      </c>
      <c r="BX64" t="b">
        <f t="shared" si="35"/>
        <v>0</v>
      </c>
      <c r="CB64">
        <v>-4.2544916040050826E-2</v>
      </c>
      <c r="CC64">
        <v>59</v>
      </c>
      <c r="CD64">
        <v>-6.9760951171780276E-3</v>
      </c>
      <c r="CG64">
        <v>-5.8130740207436554E-2</v>
      </c>
      <c r="CH64">
        <v>-5.5643692713434412E-3</v>
      </c>
      <c r="CK64">
        <v>-5.0886605651342946E-2</v>
      </c>
      <c r="CL64">
        <v>-5.211684862948489E-3</v>
      </c>
      <c r="CP64">
        <v>59</v>
      </c>
      <c r="CQ64">
        <f t="shared" si="36"/>
        <v>248270.47646363187</v>
      </c>
      <c r="CR64">
        <f t="shared" si="37"/>
        <v>426755.42850847013</v>
      </c>
      <c r="CS64">
        <f t="shared" si="38"/>
        <v>461239.42772313458</v>
      </c>
      <c r="CT64">
        <f t="shared" si="39"/>
        <v>227020.68094170437</v>
      </c>
      <c r="CU64">
        <f t="shared" si="47"/>
        <v>363693.35577201121</v>
      </c>
      <c r="CV64">
        <f t="shared" si="48"/>
        <v>386393.79986111081</v>
      </c>
      <c r="CW64">
        <f t="shared" si="43"/>
        <v>439478.98040387069</v>
      </c>
      <c r="CX64">
        <f t="shared" si="44"/>
        <v>746102.98128429812</v>
      </c>
      <c r="CY64">
        <f t="shared" si="45"/>
        <v>806271.71265244961</v>
      </c>
      <c r="DB64" t="b">
        <f t="shared" si="40"/>
        <v>0</v>
      </c>
      <c r="DC64" t="b">
        <f t="shared" si="41"/>
        <v>0</v>
      </c>
      <c r="DD64" t="b">
        <f t="shared" si="42"/>
        <v>0</v>
      </c>
    </row>
    <row r="65" spans="1:108" x14ac:dyDescent="0.25">
      <c r="A65" s="1">
        <v>44587</v>
      </c>
      <c r="B65">
        <v>126.66999800000001</v>
      </c>
      <c r="C65">
        <v>130.66999799999999</v>
      </c>
      <c r="D65">
        <v>119.800003</v>
      </c>
      <c r="E65">
        <v>121.75</v>
      </c>
      <c r="F65">
        <v>121.75</v>
      </c>
      <c r="G65">
        <v>4013900</v>
      </c>
      <c r="H65">
        <f xml:space="preserve"> (ENPH[[#This Row],[Close]]-E64)/E64</f>
        <v>-7.3379697132006623E-3</v>
      </c>
      <c r="K65" s="1">
        <v>44587</v>
      </c>
      <c r="L65">
        <v>223.300003</v>
      </c>
      <c r="M65">
        <v>228.86000100000001</v>
      </c>
      <c r="N65">
        <v>210.429993</v>
      </c>
      <c r="O65">
        <v>214.13000500000001</v>
      </c>
      <c r="P65">
        <v>214.13000500000001</v>
      </c>
      <c r="Q65">
        <v>998700</v>
      </c>
      <c r="R65">
        <f xml:space="preserve"> (SEDG4[[#This Row],[Close]]-O64)/O64</f>
        <v>6.5337969696861427E-3</v>
      </c>
      <c r="V65">
        <f xml:space="preserve"> X65/(2*ENPH[[#This Row],[Close]])</f>
        <v>2318.9940012073944</v>
      </c>
      <c r="W65">
        <f xml:space="preserve"> X65/(2*SEDG4[[#This Row],[Close]])</f>
        <v>1318.533195041957</v>
      </c>
      <c r="X65">
        <f t="shared" si="46"/>
        <v>564675.03929400048</v>
      </c>
      <c r="Y65">
        <f t="shared" si="23"/>
        <v>2.967287434187107E-5</v>
      </c>
      <c r="Z65">
        <f xml:space="preserve"> V65*ENPH[[#This Row],[Close]]</f>
        <v>282337.51964700024</v>
      </c>
      <c r="AA65">
        <f xml:space="preserve"> W65*SEDG4[[#This Row],[Close]]</f>
        <v>282337.51964700024</v>
      </c>
      <c r="AB65">
        <f t="shared" si="1"/>
        <v>564675.03929400048</v>
      </c>
      <c r="AC65" t="b">
        <f t="shared" si="2"/>
        <v>1</v>
      </c>
      <c r="AE65">
        <v>61</v>
      </c>
      <c r="AF65">
        <f t="shared" si="3"/>
        <v>345782.93552909599</v>
      </c>
      <c r="AG65">
        <f t="shared" si="4"/>
        <v>455163.25186993252</v>
      </c>
      <c r="AH65">
        <f t="shared" si="5"/>
        <v>493975.6221844228</v>
      </c>
      <c r="AJ65">
        <v>61</v>
      </c>
      <c r="AK65">
        <f t="shared" si="6"/>
        <v>310359.12252326141</v>
      </c>
      <c r="AL65">
        <f t="shared" si="7"/>
        <v>408533.9469949053</v>
      </c>
      <c r="AM65">
        <f t="shared" si="8"/>
        <v>443370.17503323051</v>
      </c>
      <c r="AO65">
        <v>61</v>
      </c>
      <c r="AP65">
        <f t="shared" si="9"/>
        <v>631229.53985048039</v>
      </c>
      <c r="AQ65">
        <f t="shared" si="10"/>
        <v>830904.19021134661</v>
      </c>
      <c r="AR65">
        <f t="shared" si="11"/>
        <v>901756.48550068622</v>
      </c>
      <c r="AT65">
        <f t="shared" si="12"/>
        <v>656142.0580523574</v>
      </c>
      <c r="AU65" t="b">
        <f t="shared" si="13"/>
        <v>0</v>
      </c>
      <c r="AV65">
        <f t="shared" si="14"/>
        <v>863697.19886483788</v>
      </c>
      <c r="AW65" t="b">
        <f t="shared" si="15"/>
        <v>0</v>
      </c>
      <c r="AX65">
        <f t="shared" si="16"/>
        <v>937345.79721765337</v>
      </c>
      <c r="AY65" t="b">
        <f t="shared" si="17"/>
        <v>0</v>
      </c>
      <c r="BA65">
        <v>61</v>
      </c>
      <c r="BB65">
        <f t="shared" si="18"/>
        <v>-3.3554429405434474E-4</v>
      </c>
      <c r="BC65">
        <f t="shared" si="19"/>
        <v>-4.6195387141322763E-4</v>
      </c>
      <c r="BD65">
        <f t="shared" si="20"/>
        <v>-4.0312025478494279E-4</v>
      </c>
      <c r="BG65">
        <v>60</v>
      </c>
      <c r="BH65">
        <f t="shared" si="24"/>
        <v>56294.836772883551</v>
      </c>
      <c r="BI65">
        <f t="shared" si="25"/>
        <v>74102.387180632431</v>
      </c>
      <c r="BJ65">
        <f t="shared" si="26"/>
        <v>80421.195389833651</v>
      </c>
      <c r="BL65">
        <v>60</v>
      </c>
      <c r="BM65">
        <f t="shared" si="27"/>
        <v>39446.010824428136</v>
      </c>
      <c r="BN65">
        <f t="shared" si="28"/>
        <v>51923.830575012551</v>
      </c>
      <c r="BO65">
        <f t="shared" si="29"/>
        <v>56351.444034897337</v>
      </c>
      <c r="BQ65">
        <v>60</v>
      </c>
      <c r="BR65">
        <f t="shared" si="30"/>
        <v>89097.103391763536</v>
      </c>
      <c r="BS65">
        <f t="shared" si="31"/>
        <v>117280.88099528058</v>
      </c>
      <c r="BT65">
        <f t="shared" si="32"/>
        <v>127281.5762739479</v>
      </c>
      <c r="BV65" t="b">
        <f t="shared" si="33"/>
        <v>0</v>
      </c>
      <c r="BW65" t="b">
        <f t="shared" si="34"/>
        <v>0</v>
      </c>
      <c r="BX65" t="b">
        <f t="shared" si="35"/>
        <v>0</v>
      </c>
      <c r="CB65">
        <v>-7.3379697132006623E-3</v>
      </c>
      <c r="CC65">
        <v>60</v>
      </c>
      <c r="CD65">
        <v>-6.3934732416042628E-3</v>
      </c>
      <c r="CG65">
        <v>6.5337969696861427E-3</v>
      </c>
      <c r="CH65">
        <v>-5.1395585476964739E-3</v>
      </c>
      <c r="CK65">
        <v>2.967287434187107E-5</v>
      </c>
      <c r="CL65">
        <v>-4.9593142362504379E-3</v>
      </c>
      <c r="CP65">
        <v>60</v>
      </c>
      <c r="CQ65">
        <f t="shared" si="36"/>
        <v>250365.62311434865</v>
      </c>
      <c r="CR65">
        <f t="shared" si="37"/>
        <v>430356.80398996314</v>
      </c>
      <c r="CS65">
        <f t="shared" si="38"/>
        <v>465131.81257669249</v>
      </c>
      <c r="CT65">
        <f t="shared" si="39"/>
        <v>228936.50124419664</v>
      </c>
      <c r="CU65">
        <f t="shared" si="47"/>
        <v>366762.55242836551</v>
      </c>
      <c r="CV65">
        <f t="shared" si="48"/>
        <v>389654.56484278722</v>
      </c>
      <c r="CW65">
        <f t="shared" si="43"/>
        <v>443187.72953493573</v>
      </c>
      <c r="CX65">
        <f t="shared" si="44"/>
        <v>752399.32060177869</v>
      </c>
      <c r="CY65">
        <f t="shared" si="45"/>
        <v>813075.81397933001</v>
      </c>
      <c r="DB65" t="b">
        <f t="shared" si="40"/>
        <v>0</v>
      </c>
      <c r="DC65" t="b">
        <f t="shared" si="41"/>
        <v>0</v>
      </c>
      <c r="DD65" t="b">
        <f t="shared" si="42"/>
        <v>0</v>
      </c>
    </row>
    <row r="66" spans="1:108" x14ac:dyDescent="0.25">
      <c r="A66" s="1">
        <v>44588</v>
      </c>
      <c r="B66">
        <v>125.199997</v>
      </c>
      <c r="C66">
        <v>125.779999</v>
      </c>
      <c r="D66">
        <v>119.620003</v>
      </c>
      <c r="E66">
        <v>119.970001</v>
      </c>
      <c r="F66">
        <v>119.970001</v>
      </c>
      <c r="G66">
        <v>2730800</v>
      </c>
      <c r="H66">
        <f xml:space="preserve"> (ENPH[[#This Row],[Close]]-E65)/E65</f>
        <v>-1.4620114989733089E-2</v>
      </c>
      <c r="K66" s="1">
        <v>44588</v>
      </c>
      <c r="L66">
        <v>218.30999800000001</v>
      </c>
      <c r="M66">
        <v>219.5</v>
      </c>
      <c r="N66">
        <v>208.699997</v>
      </c>
      <c r="O66">
        <v>209.820007</v>
      </c>
      <c r="P66">
        <v>209.820007</v>
      </c>
      <c r="Q66">
        <v>1305500</v>
      </c>
      <c r="R66">
        <f xml:space="preserve"> (SEDG4[[#This Row],[Close]]-O65)/O65</f>
        <v>-2.0127949840565349E-2</v>
      </c>
      <c r="V66">
        <f xml:space="preserve"> X66/(2*ENPH[[#This Row],[Close]])</f>
        <v>2312.0647055541308</v>
      </c>
      <c r="W66">
        <f xml:space="preserve"> X66/(2*SEDG4[[#This Row],[Close]])</f>
        <v>1321.982631701055</v>
      </c>
      <c r="X66">
        <f t="shared" si="46"/>
        <v>554756.81007478759</v>
      </c>
      <c r="Y66">
        <f t="shared" si="23"/>
        <v>-1.7564490244890967E-2</v>
      </c>
      <c r="Z66">
        <f xml:space="preserve"> V66*ENPH[[#This Row],[Close]]</f>
        <v>277378.40503739379</v>
      </c>
      <c r="AA66">
        <f xml:space="preserve"> W66*SEDG4[[#This Row],[Close]]</f>
        <v>277378.40503739379</v>
      </c>
      <c r="AB66">
        <f t="shared" si="1"/>
        <v>554756.81007478759</v>
      </c>
      <c r="AC66" t="b">
        <f t="shared" si="2"/>
        <v>1</v>
      </c>
      <c r="AE66">
        <v>62</v>
      </c>
      <c r="AF66">
        <f t="shared" si="3"/>
        <v>348605.70020624279</v>
      </c>
      <c r="AG66">
        <f t="shared" si="4"/>
        <v>458878.93190413597</v>
      </c>
      <c r="AH66">
        <f t="shared" si="5"/>
        <v>498008.14315177541</v>
      </c>
      <c r="AJ66">
        <v>62</v>
      </c>
      <c r="AK66">
        <f t="shared" si="6"/>
        <v>312892.70841855271</v>
      </c>
      <c r="AL66">
        <f t="shared" si="7"/>
        <v>411868.97332646226</v>
      </c>
      <c r="AM66">
        <f t="shared" si="8"/>
        <v>446989.58345507528</v>
      </c>
      <c r="AO66">
        <v>62</v>
      </c>
      <c r="AP66">
        <f t="shared" si="9"/>
        <v>636382.51955300721</v>
      </c>
      <c r="AQ66">
        <f t="shared" si="10"/>
        <v>837687.19410548918</v>
      </c>
      <c r="AR66">
        <f t="shared" si="11"/>
        <v>909117.88507572457</v>
      </c>
      <c r="AT66">
        <f t="shared" si="12"/>
        <v>661498.4086247955</v>
      </c>
      <c r="AU66" t="b">
        <f t="shared" si="13"/>
        <v>0</v>
      </c>
      <c r="AV66">
        <f t="shared" si="14"/>
        <v>870747.90523059829</v>
      </c>
      <c r="AW66" t="b">
        <f t="shared" si="15"/>
        <v>0</v>
      </c>
      <c r="AX66">
        <f t="shared" si="16"/>
        <v>944997.72660685075</v>
      </c>
      <c r="AY66" t="b">
        <f t="shared" si="17"/>
        <v>0</v>
      </c>
      <c r="BA66">
        <v>62</v>
      </c>
      <c r="BB66">
        <f t="shared" si="18"/>
        <v>6.9952600167149043E-4</v>
      </c>
      <c r="BC66">
        <f t="shared" si="19"/>
        <v>2.3134629256287923E-4</v>
      </c>
      <c r="BD66">
        <f t="shared" si="20"/>
        <v>4.4989980747850791E-4</v>
      </c>
      <c r="BG66">
        <v>61</v>
      </c>
      <c r="BH66">
        <f t="shared" si="24"/>
        <v>56762.021852118356</v>
      </c>
      <c r="BI66">
        <f t="shared" si="25"/>
        <v>74717.355295135392</v>
      </c>
      <c r="BJ66">
        <f t="shared" si="26"/>
        <v>81088.602645883366</v>
      </c>
      <c r="BL66">
        <v>61</v>
      </c>
      <c r="BM66">
        <f t="shared" si="27"/>
        <v>39773.369224397502</v>
      </c>
      <c r="BN66">
        <f t="shared" si="28"/>
        <v>52354.741121911</v>
      </c>
      <c r="BO66">
        <f t="shared" si="29"/>
        <v>56819.098891996429</v>
      </c>
      <c r="BQ66">
        <v>61</v>
      </c>
      <c r="BR66">
        <f t="shared" si="30"/>
        <v>89836.511118898503</v>
      </c>
      <c r="BS66">
        <f t="shared" si="31"/>
        <v>118254.18300344804</v>
      </c>
      <c r="BT66">
        <f t="shared" si="32"/>
        <v>128337.87302699787</v>
      </c>
      <c r="BV66" t="b">
        <f t="shared" si="33"/>
        <v>0</v>
      </c>
      <c r="BW66" t="b">
        <f t="shared" si="34"/>
        <v>0</v>
      </c>
      <c r="BX66" t="b">
        <f t="shared" si="35"/>
        <v>0</v>
      </c>
      <c r="CB66">
        <v>-1.4620114989733089E-2</v>
      </c>
      <c r="CC66">
        <v>61</v>
      </c>
      <c r="CD66">
        <v>-6.1474553414156479E-3</v>
      </c>
      <c r="CG66">
        <v>-2.0127949840565349E-2</v>
      </c>
      <c r="CH66">
        <v>-4.3711760701759007E-3</v>
      </c>
      <c r="CK66">
        <v>-1.7564490244890967E-2</v>
      </c>
      <c r="CL66">
        <v>-4.3494655295848268E-3</v>
      </c>
      <c r="CP66">
        <v>61</v>
      </c>
      <c r="CQ66">
        <f t="shared" si="36"/>
        <v>252443.38175399514</v>
      </c>
      <c r="CR66">
        <f t="shared" si="37"/>
        <v>433928.29098765051</v>
      </c>
      <c r="CS66">
        <f t="shared" si="38"/>
        <v>468991.89380563283</v>
      </c>
      <c r="CT66">
        <f t="shared" si="39"/>
        <v>230836.42179827893</v>
      </c>
      <c r="CU66">
        <f t="shared" si="47"/>
        <v>369806.27725179621</v>
      </c>
      <c r="CV66">
        <f t="shared" si="48"/>
        <v>392888.26813043875</v>
      </c>
      <c r="CW66">
        <f t="shared" si="43"/>
        <v>446865.69906834065</v>
      </c>
      <c r="CX66">
        <f t="shared" si="44"/>
        <v>758643.40543019178</v>
      </c>
      <c r="CY66">
        <f t="shared" si="45"/>
        <v>819823.44680594851</v>
      </c>
      <c r="DB66" t="b">
        <f t="shared" si="40"/>
        <v>0</v>
      </c>
      <c r="DC66" t="b">
        <f t="shared" si="41"/>
        <v>0</v>
      </c>
      <c r="DD66" t="b">
        <f t="shared" si="42"/>
        <v>0</v>
      </c>
    </row>
    <row r="67" spans="1:108" x14ac:dyDescent="0.25">
      <c r="A67" s="1">
        <v>44589</v>
      </c>
      <c r="B67">
        <v>120.32</v>
      </c>
      <c r="C67">
        <v>124.279999</v>
      </c>
      <c r="D67">
        <v>113.970001</v>
      </c>
      <c r="E67">
        <v>123.860001</v>
      </c>
      <c r="F67">
        <v>123.860001</v>
      </c>
      <c r="G67">
        <v>3074600</v>
      </c>
      <c r="H67">
        <f xml:space="preserve"> (ENPH[[#This Row],[Close]]-E66)/E66</f>
        <v>3.2424772589607638E-2</v>
      </c>
      <c r="K67" s="1">
        <v>44589</v>
      </c>
      <c r="L67">
        <v>210.929993</v>
      </c>
      <c r="M67">
        <v>214.470001</v>
      </c>
      <c r="N67">
        <v>202.60000600000001</v>
      </c>
      <c r="O67">
        <v>212.070007</v>
      </c>
      <c r="P67">
        <v>212.070007</v>
      </c>
      <c r="Q67">
        <v>1142700</v>
      </c>
      <c r="R67">
        <f xml:space="preserve"> (SEDG4[[#This Row],[Close]]-O66)/O66</f>
        <v>1.0723476908472317E-2</v>
      </c>
      <c r="V67">
        <f xml:space="preserve"> X67/(2*ENPH[[#This Row],[Close]])</f>
        <v>2286.1524749655537</v>
      </c>
      <c r="W67">
        <f xml:space="preserve"> X67/(2*SEDG4[[#This Row],[Close]])</f>
        <v>1335.2328876727295</v>
      </c>
      <c r="X67">
        <f t="shared" si="46"/>
        <v>566325.69567077188</v>
      </c>
      <c r="Y67">
        <f t="shared" si="23"/>
        <v>2.0853976708144734E-2</v>
      </c>
      <c r="Z67">
        <f xml:space="preserve"> V67*ENPH[[#This Row],[Close]]</f>
        <v>283162.84783538594</v>
      </c>
      <c r="AA67">
        <f xml:space="preserve"> W67*SEDG4[[#This Row],[Close]]</f>
        <v>283162.84783538594</v>
      </c>
      <c r="AB67">
        <f t="shared" si="1"/>
        <v>566325.69567077188</v>
      </c>
      <c r="AC67" t="b">
        <f t="shared" si="2"/>
        <v>1</v>
      </c>
      <c r="AE67">
        <v>63</v>
      </c>
      <c r="AF67">
        <f t="shared" si="3"/>
        <v>351405.79097312945</v>
      </c>
      <c r="AG67">
        <f t="shared" si="4"/>
        <v>462564.76566871128</v>
      </c>
      <c r="AH67">
        <f t="shared" si="5"/>
        <v>502008.27281875635</v>
      </c>
      <c r="AJ67">
        <v>63</v>
      </c>
      <c r="AK67">
        <f t="shared" si="6"/>
        <v>315405.94323757774</v>
      </c>
      <c r="AL67">
        <f t="shared" si="7"/>
        <v>415177.21099640336</v>
      </c>
      <c r="AM67">
        <f t="shared" si="8"/>
        <v>450579.91891082533</v>
      </c>
      <c r="AO67">
        <v>63</v>
      </c>
      <c r="AP67">
        <f t="shared" si="9"/>
        <v>641494.10784933798</v>
      </c>
      <c r="AQ67">
        <f t="shared" si="10"/>
        <v>844415.71339351637</v>
      </c>
      <c r="AR67">
        <f t="shared" si="11"/>
        <v>916420.15407048282</v>
      </c>
      <c r="AT67">
        <f t="shared" si="12"/>
        <v>666811.73421070725</v>
      </c>
      <c r="AU67" t="b">
        <f t="shared" si="13"/>
        <v>0</v>
      </c>
      <c r="AV67">
        <f t="shared" si="14"/>
        <v>877741.97666511463</v>
      </c>
      <c r="AW67" t="b">
        <f t="shared" si="15"/>
        <v>0</v>
      </c>
      <c r="AX67">
        <f t="shared" si="16"/>
        <v>952588.19172958168</v>
      </c>
      <c r="AY67" t="b">
        <f t="shared" si="17"/>
        <v>0</v>
      </c>
      <c r="BA67">
        <v>63</v>
      </c>
      <c r="BB67">
        <f t="shared" si="18"/>
        <v>2.7195267189560621E-3</v>
      </c>
      <c r="BC67">
        <f t="shared" si="19"/>
        <v>2.5006166562277963E-3</v>
      </c>
      <c r="BD67">
        <f t="shared" si="20"/>
        <v>2.6039655245044683E-3</v>
      </c>
      <c r="BG67">
        <v>62</v>
      </c>
      <c r="BH67">
        <f t="shared" si="24"/>
        <v>57225.392984191218</v>
      </c>
      <c r="BI67">
        <f t="shared" si="25"/>
        <v>75327.303009802738</v>
      </c>
      <c r="BJ67">
        <f t="shared" si="26"/>
        <v>81750.56140598745</v>
      </c>
      <c r="BL67">
        <v>62</v>
      </c>
      <c r="BM67">
        <f t="shared" si="27"/>
        <v>40098.055176773836</v>
      </c>
      <c r="BN67">
        <f t="shared" si="28"/>
        <v>52782.133855141066</v>
      </c>
      <c r="BO67">
        <f t="shared" si="29"/>
        <v>57282.935966819758</v>
      </c>
      <c r="BQ67">
        <v>62</v>
      </c>
      <c r="BR67">
        <f t="shared" si="30"/>
        <v>90569.882561640508</v>
      </c>
      <c r="BS67">
        <f t="shared" si="31"/>
        <v>119219.53929032272</v>
      </c>
      <c r="BT67">
        <f t="shared" si="32"/>
        <v>129385.54651662929</v>
      </c>
      <c r="BV67" t="b">
        <f t="shared" si="33"/>
        <v>0</v>
      </c>
      <c r="BW67" t="b">
        <f t="shared" si="34"/>
        <v>0</v>
      </c>
      <c r="BX67" t="b">
        <f t="shared" si="35"/>
        <v>0</v>
      </c>
      <c r="CB67">
        <v>3.2424772589607638E-2</v>
      </c>
      <c r="CC67">
        <v>62</v>
      </c>
      <c r="CD67">
        <v>-6.1268894931930272E-3</v>
      </c>
      <c r="CG67">
        <v>1.0723476908472317E-2</v>
      </c>
      <c r="CH67">
        <v>-3.4787277136827861E-3</v>
      </c>
      <c r="CK67">
        <v>2.0853976708144734E-2</v>
      </c>
      <c r="CL67">
        <v>-3.0208314872953303E-3</v>
      </c>
      <c r="CP67">
        <v>62</v>
      </c>
      <c r="CQ67">
        <f t="shared" si="36"/>
        <v>254504.17824733371</v>
      </c>
      <c r="CR67">
        <f t="shared" si="37"/>
        <v>437470.62152614398</v>
      </c>
      <c r="CS67">
        <f t="shared" si="38"/>
        <v>472820.46258586214</v>
      </c>
      <c r="CT67">
        <f t="shared" si="39"/>
        <v>232720.83201839033</v>
      </c>
      <c r="CU67">
        <f t="shared" si="47"/>
        <v>372825.15409491246</v>
      </c>
      <c r="CV67">
        <f t="shared" si="48"/>
        <v>396095.57251533278</v>
      </c>
      <c r="CW67">
        <f t="shared" si="43"/>
        <v>450513.64285373461</v>
      </c>
      <c r="CX67">
        <f t="shared" si="44"/>
        <v>764836.51557925681</v>
      </c>
      <c r="CY67">
        <f t="shared" si="45"/>
        <v>826515.99415100354</v>
      </c>
      <c r="DB67" t="b">
        <f t="shared" si="40"/>
        <v>0</v>
      </c>
      <c r="DC67" t="b">
        <f t="shared" si="41"/>
        <v>0</v>
      </c>
      <c r="DD67" t="b">
        <f t="shared" si="42"/>
        <v>0</v>
      </c>
    </row>
    <row r="68" spans="1:108" x14ac:dyDescent="0.25">
      <c r="A68" s="1">
        <v>44592</v>
      </c>
      <c r="B68">
        <v>125</v>
      </c>
      <c r="C68">
        <v>140.75</v>
      </c>
      <c r="D68">
        <v>125</v>
      </c>
      <c r="E68">
        <v>140.470001</v>
      </c>
      <c r="F68">
        <v>140.470001</v>
      </c>
      <c r="G68">
        <v>3988900</v>
      </c>
      <c r="H68">
        <f xml:space="preserve"> (ENPH[[#This Row],[Close]]-E67)/E67</f>
        <v>0.13410301845548991</v>
      </c>
      <c r="K68" s="1">
        <v>44592</v>
      </c>
      <c r="L68">
        <v>216.33000200000001</v>
      </c>
      <c r="M68">
        <v>239</v>
      </c>
      <c r="N68">
        <v>213.509995</v>
      </c>
      <c r="O68">
        <v>238.220001</v>
      </c>
      <c r="P68">
        <v>238.220001</v>
      </c>
      <c r="Q68">
        <v>1204800</v>
      </c>
      <c r="R68">
        <f xml:space="preserve"> (SEDG4[[#This Row],[Close]]-O67)/O67</f>
        <v>0.12330830922262379</v>
      </c>
      <c r="V68">
        <f xml:space="preserve"> X68/(2*ENPH[[#This Row],[Close]])</f>
        <v>2274.6653874104836</v>
      </c>
      <c r="W68">
        <f xml:space="preserve"> X68/(2*SEDG4[[#This Row],[Close]])</f>
        <v>1341.2906049153112</v>
      </c>
      <c r="X68">
        <f t="shared" si="46"/>
        <v>639044.49848843203</v>
      </c>
      <c r="Y68">
        <f t="shared" si="23"/>
        <v>0.12840456185116231</v>
      </c>
      <c r="Z68">
        <f xml:space="preserve"> V68*ENPH[[#This Row],[Close]]</f>
        <v>319522.24924421601</v>
      </c>
      <c r="AA68">
        <f xml:space="preserve"> W68*SEDG4[[#This Row],[Close]]</f>
        <v>319522.24924421601</v>
      </c>
      <c r="AB68">
        <f t="shared" si="1"/>
        <v>639044.49848843203</v>
      </c>
      <c r="AC68" t="b">
        <f t="shared" si="2"/>
        <v>1</v>
      </c>
      <c r="AE68">
        <v>64</v>
      </c>
      <c r="AF68">
        <f t="shared" si="3"/>
        <v>354183.7455934654</v>
      </c>
      <c r="AG68">
        <f t="shared" si="4"/>
        <v>466221.46103629627</v>
      </c>
      <c r="AH68">
        <f t="shared" si="5"/>
        <v>505976.77941923623</v>
      </c>
      <c r="AJ68">
        <v>64</v>
      </c>
      <c r="AK68">
        <f t="shared" si="6"/>
        <v>317899.30965271813</v>
      </c>
      <c r="AL68">
        <f t="shared" si="7"/>
        <v>418459.29535919026</v>
      </c>
      <c r="AM68">
        <f t="shared" si="8"/>
        <v>454141.87093245448</v>
      </c>
      <c r="AO68">
        <v>64</v>
      </c>
      <c r="AP68">
        <f t="shared" si="9"/>
        <v>646565.28643146507</v>
      </c>
      <c r="AQ68">
        <f t="shared" si="10"/>
        <v>851091.04030264285</v>
      </c>
      <c r="AR68">
        <f t="shared" si="11"/>
        <v>923664.69490209292</v>
      </c>
      <c r="AT68">
        <f t="shared" si="12"/>
        <v>672083.05524618353</v>
      </c>
      <c r="AU68" t="b">
        <f t="shared" si="13"/>
        <v>0</v>
      </c>
      <c r="AV68">
        <f t="shared" si="14"/>
        <v>884680.75639548653</v>
      </c>
      <c r="AW68" t="b">
        <f t="shared" si="15"/>
        <v>0</v>
      </c>
      <c r="AX68">
        <f t="shared" si="16"/>
        <v>960118.65035169071</v>
      </c>
      <c r="AY68" t="b">
        <f t="shared" si="17"/>
        <v>0</v>
      </c>
      <c r="BA68">
        <v>64</v>
      </c>
      <c r="BB68">
        <f t="shared" si="18"/>
        <v>2.9855278959821499E-4</v>
      </c>
      <c r="BC68">
        <f t="shared" si="19"/>
        <v>3.2088413049958804E-4</v>
      </c>
      <c r="BD68">
        <f t="shared" si="20"/>
        <v>3.1028811769832931E-4</v>
      </c>
      <c r="BG68">
        <v>63</v>
      </c>
      <c r="BH68">
        <f t="shared" si="24"/>
        <v>57685.042078946964</v>
      </c>
      <c r="BI68">
        <f t="shared" si="25"/>
        <v>75932.351308001627</v>
      </c>
      <c r="BJ68">
        <f t="shared" si="26"/>
        <v>82407.202969924241</v>
      </c>
      <c r="BL68">
        <v>63</v>
      </c>
      <c r="BM68">
        <f t="shared" si="27"/>
        <v>40420.133083142457</v>
      </c>
      <c r="BN68">
        <f t="shared" si="28"/>
        <v>53206.09354821813</v>
      </c>
      <c r="BO68">
        <f t="shared" si="29"/>
        <v>57743.047261632077</v>
      </c>
      <c r="BQ68">
        <v>63</v>
      </c>
      <c r="BR68">
        <f t="shared" si="30"/>
        <v>91297.363184501301</v>
      </c>
      <c r="BS68">
        <f t="shared" si="31"/>
        <v>120177.14133470069</v>
      </c>
      <c r="BT68">
        <f t="shared" si="32"/>
        <v>130424.80454928755</v>
      </c>
      <c r="BV68" t="b">
        <f t="shared" si="33"/>
        <v>0</v>
      </c>
      <c r="BW68" t="b">
        <f t="shared" si="34"/>
        <v>0</v>
      </c>
      <c r="BX68" t="b">
        <f t="shared" si="35"/>
        <v>0</v>
      </c>
      <c r="CB68">
        <v>0.13410301845548991</v>
      </c>
      <c r="CC68">
        <v>63</v>
      </c>
      <c r="CD68">
        <v>-5.5335786048770035E-3</v>
      </c>
      <c r="CG68">
        <v>0.12330830922262379</v>
      </c>
      <c r="CH68">
        <v>-3.3176311485653589E-3</v>
      </c>
      <c r="CK68">
        <v>0.12840456185116231</v>
      </c>
      <c r="CL68">
        <v>-2.6122762839187225E-3</v>
      </c>
      <c r="CP68">
        <v>63</v>
      </c>
      <c r="CQ68">
        <f t="shared" si="36"/>
        <v>256548.4213541527</v>
      </c>
      <c r="CR68">
        <f t="shared" si="37"/>
        <v>440984.49822808779</v>
      </c>
      <c r="CS68">
        <f t="shared" si="38"/>
        <v>476618.27831549151</v>
      </c>
      <c r="CT68">
        <f t="shared" si="39"/>
        <v>234590.10567803311</v>
      </c>
      <c r="CU68">
        <f t="shared" si="47"/>
        <v>375819.78175311378</v>
      </c>
      <c r="CV68">
        <f t="shared" si="48"/>
        <v>399277.11416754528</v>
      </c>
      <c r="CW68">
        <f t="shared" si="43"/>
        <v>454132.28446219047</v>
      </c>
      <c r="CX68">
        <f t="shared" si="44"/>
        <v>770979.8794547877</v>
      </c>
      <c r="CY68">
        <f t="shared" si="45"/>
        <v>833154.78348387196</v>
      </c>
      <c r="DB68" t="b">
        <f t="shared" si="40"/>
        <v>0</v>
      </c>
      <c r="DC68" t="b">
        <f t="shared" si="41"/>
        <v>0</v>
      </c>
      <c r="DD68" t="b">
        <f t="shared" si="42"/>
        <v>0</v>
      </c>
    </row>
    <row r="69" spans="1:108" x14ac:dyDescent="0.25">
      <c r="A69" s="1">
        <v>44593</v>
      </c>
      <c r="B69">
        <v>141.19000199999999</v>
      </c>
      <c r="C69">
        <v>143.35000600000001</v>
      </c>
      <c r="D69">
        <v>136.61999499999999</v>
      </c>
      <c r="E69">
        <v>142.66999799999999</v>
      </c>
      <c r="F69">
        <v>142.66999799999999</v>
      </c>
      <c r="G69">
        <v>2605200</v>
      </c>
      <c r="H69">
        <f xml:space="preserve"> (ENPH[[#This Row],[Close]]-E68)/E68</f>
        <v>1.5661685657708483E-2</v>
      </c>
      <c r="K69" s="1">
        <v>44593</v>
      </c>
      <c r="L69">
        <v>241.800003</v>
      </c>
      <c r="M69">
        <v>243.449997</v>
      </c>
      <c r="N69">
        <v>232.240005</v>
      </c>
      <c r="O69">
        <v>242.229996</v>
      </c>
      <c r="P69">
        <v>242.229996</v>
      </c>
      <c r="Q69">
        <v>778400</v>
      </c>
      <c r="R69">
        <f xml:space="preserve"> (SEDG4[[#This Row],[Close]]-O68)/O68</f>
        <v>1.6833158354323086E-2</v>
      </c>
      <c r="V69">
        <f xml:space="preserve"> X69/(2*ENPH[[#This Row],[Close]])</f>
        <v>2276.0441232196208</v>
      </c>
      <c r="W69">
        <f xml:space="preserve"> X69/(2*SEDG4[[#This Row],[Close]])</f>
        <v>1340.5573870696635</v>
      </c>
      <c r="X69">
        <f t="shared" ref="X69:X100" si="49" xml:space="preserve"> $V$5*E69+$W$5*O69</f>
        <v>649446.4210153101</v>
      </c>
      <c r="Y69">
        <f t="shared" si="23"/>
        <v>1.6277305495129565E-2</v>
      </c>
      <c r="Z69">
        <f xml:space="preserve"> V69*ENPH[[#This Row],[Close]]</f>
        <v>324723.21050765505</v>
      </c>
      <c r="AA69">
        <f xml:space="preserve"> W69*SEDG4[[#This Row],[Close]]</f>
        <v>324723.21050765505</v>
      </c>
      <c r="AB69">
        <f t="shared" si="1"/>
        <v>649446.4210153101</v>
      </c>
      <c r="AC69" t="b">
        <f t="shared" si="2"/>
        <v>1</v>
      </c>
      <c r="AE69">
        <v>65</v>
      </c>
      <c r="AF69">
        <f t="shared" si="3"/>
        <v>356940.08090403979</v>
      </c>
      <c r="AG69">
        <f t="shared" si="4"/>
        <v>469849.69833286875</v>
      </c>
      <c r="AH69">
        <f t="shared" si="5"/>
        <v>509914.40129148541</v>
      </c>
      <c r="AJ69">
        <v>65</v>
      </c>
      <c r="AK69">
        <f t="shared" si="6"/>
        <v>320373.27155329834</v>
      </c>
      <c r="AL69">
        <f t="shared" si="7"/>
        <v>421715.83704464784</v>
      </c>
      <c r="AM69">
        <f t="shared" si="8"/>
        <v>457676.10221899766</v>
      </c>
      <c r="AO69">
        <v>65</v>
      </c>
      <c r="AP69">
        <f t="shared" si="9"/>
        <v>651596.99878911872</v>
      </c>
      <c r="AQ69">
        <f t="shared" si="10"/>
        <v>857714.41677343182</v>
      </c>
      <c r="AR69">
        <f t="shared" si="11"/>
        <v>930852.85541302676</v>
      </c>
      <c r="AT69">
        <f t="shared" si="12"/>
        <v>677313.35245733813</v>
      </c>
      <c r="AU69" t="b">
        <f t="shared" si="13"/>
        <v>0</v>
      </c>
      <c r="AV69">
        <f t="shared" si="14"/>
        <v>891565.53537751664</v>
      </c>
      <c r="AW69" t="b">
        <f t="shared" si="15"/>
        <v>0</v>
      </c>
      <c r="AX69">
        <f t="shared" si="16"/>
        <v>967590.50351048307</v>
      </c>
      <c r="AY69" t="b">
        <f t="shared" si="17"/>
        <v>0</v>
      </c>
      <c r="BA69">
        <v>65</v>
      </c>
      <c r="BB69">
        <f t="shared" si="18"/>
        <v>-3.9688558340779308E-4</v>
      </c>
      <c r="BC69">
        <f t="shared" si="19"/>
        <v>-2.9071961765691183E-4</v>
      </c>
      <c r="BD69">
        <f t="shared" si="20"/>
        <v>-3.4106386237847821E-4</v>
      </c>
      <c r="BG69">
        <v>64</v>
      </c>
      <c r="BH69">
        <f t="shared" si="24"/>
        <v>58141.057413024762</v>
      </c>
      <c r="BI69">
        <f t="shared" si="25"/>
        <v>76532.616390614232</v>
      </c>
      <c r="BJ69">
        <f t="shared" si="26"/>
        <v>83058.653447178236</v>
      </c>
      <c r="BL69">
        <v>64</v>
      </c>
      <c r="BM69">
        <f t="shared" si="27"/>
        <v>40739.664799287384</v>
      </c>
      <c r="BN69">
        <f t="shared" si="28"/>
        <v>53626.701623551759</v>
      </c>
      <c r="BO69">
        <f t="shared" si="29"/>
        <v>58199.521141839112</v>
      </c>
      <c r="BQ69">
        <v>64</v>
      </c>
      <c r="BR69">
        <f t="shared" si="30"/>
        <v>92019.092701765476</v>
      </c>
      <c r="BS69">
        <f t="shared" si="31"/>
        <v>121127.1730462015</v>
      </c>
      <c r="BT69">
        <f t="shared" si="32"/>
        <v>131455.84671680781</v>
      </c>
      <c r="BV69" t="b">
        <f t="shared" si="33"/>
        <v>0</v>
      </c>
      <c r="BW69" t="b">
        <f t="shared" si="34"/>
        <v>0</v>
      </c>
      <c r="BX69" t="b">
        <f t="shared" si="35"/>
        <v>0</v>
      </c>
      <c r="CB69">
        <v>1.5661685657708483E-2</v>
      </c>
      <c r="CC69">
        <v>64</v>
      </c>
      <c r="CD69">
        <v>-4.5299949637605972E-3</v>
      </c>
      <c r="CG69">
        <v>1.6833158354323086E-2</v>
      </c>
      <c r="CH69">
        <v>-2.7974965225503988E-3</v>
      </c>
      <c r="CK69">
        <v>1.6277305495129565E-2</v>
      </c>
      <c r="CL69">
        <v>-1.4576194594154016E-3</v>
      </c>
      <c r="CP69">
        <v>64</v>
      </c>
      <c r="CQ69">
        <f t="shared" si="36"/>
        <v>258576.503675924</v>
      </c>
      <c r="CR69">
        <f t="shared" si="37"/>
        <v>444470.59594138048</v>
      </c>
      <c r="CS69">
        <f t="shared" si="38"/>
        <v>480386.07037354651</v>
      </c>
      <c r="CT69">
        <f t="shared" si="39"/>
        <v>236444.60177540456</v>
      </c>
      <c r="CU69">
        <f t="shared" si="47"/>
        <v>378790.7353513558</v>
      </c>
      <c r="CV69">
        <f t="shared" si="48"/>
        <v>402433.50410928344</v>
      </c>
      <c r="CW69">
        <f t="shared" si="43"/>
        <v>457722.3188619421</v>
      </c>
      <c r="CX69">
        <f t="shared" si="44"/>
        <v>777074.67690359033</v>
      </c>
      <c r="CY69">
        <f t="shared" si="45"/>
        <v>839741.08979892929</v>
      </c>
      <c r="DB69" t="b">
        <f t="shared" si="40"/>
        <v>0</v>
      </c>
      <c r="DC69" t="b">
        <f t="shared" si="41"/>
        <v>0</v>
      </c>
      <c r="DD69" t="b">
        <f t="shared" si="42"/>
        <v>0</v>
      </c>
    </row>
    <row r="70" spans="1:108" x14ac:dyDescent="0.25">
      <c r="A70" s="1">
        <v>44594</v>
      </c>
      <c r="B70">
        <v>144.89999399999999</v>
      </c>
      <c r="C70">
        <v>145.259995</v>
      </c>
      <c r="D70">
        <v>138.58999600000001</v>
      </c>
      <c r="E70">
        <v>139.509995</v>
      </c>
      <c r="F70">
        <v>139.509995</v>
      </c>
      <c r="G70">
        <v>2375000</v>
      </c>
      <c r="H70">
        <f xml:space="preserve"> (ENPH[[#This Row],[Close]]-E69)/E69</f>
        <v>-2.2149036547964268E-2</v>
      </c>
      <c r="K70" s="1">
        <v>44594</v>
      </c>
      <c r="L70">
        <v>244.36000100000001</v>
      </c>
      <c r="M70">
        <v>246.970001</v>
      </c>
      <c r="N70">
        <v>236.570007</v>
      </c>
      <c r="O70">
        <v>238.300003</v>
      </c>
      <c r="P70">
        <v>238.300003</v>
      </c>
      <c r="Q70">
        <v>443600</v>
      </c>
      <c r="R70">
        <f xml:space="preserve"> (SEDG4[[#This Row],[Close]]-O69)/O69</f>
        <v>-1.6224221049815794E-2</v>
      </c>
      <c r="V70">
        <f xml:space="preserve"> X70/(2*ENPH[[#This Row],[Close]])</f>
        <v>2283.2951706685076</v>
      </c>
      <c r="W70">
        <f xml:space="preserve"> X70/(2*SEDG4[[#This Row],[Close]])</f>
        <v>1336.7288872568233</v>
      </c>
      <c r="X70">
        <f t="shared" si="49"/>
        <v>637084.99568697531</v>
      </c>
      <c r="Y70">
        <f t="shared" si="23"/>
        <v>-1.9033787743428621E-2</v>
      </c>
      <c r="Z70">
        <f xml:space="preserve"> V70*ENPH[[#This Row],[Close]]</f>
        <v>318542.49784348765</v>
      </c>
      <c r="AA70">
        <f xml:space="preserve"> W70*SEDG4[[#This Row],[Close]]</f>
        <v>318542.49784348765</v>
      </c>
      <c r="AB70">
        <f t="shared" ref="AB70:AB129" si="50" xml:space="preserve"> SUM(Z70,AA70)</f>
        <v>637084.99568697531</v>
      </c>
      <c r="AC70" t="b">
        <f t="shared" ref="AC70:AC129" si="51">X70=AB70</f>
        <v>1</v>
      </c>
      <c r="AE70">
        <v>66</v>
      </c>
      <c r="AF70">
        <f t="shared" ref="AF70:AF104" si="52" xml:space="preserve"> $AH$1*SQRT(AE70)*1.96</f>
        <v>359675.29393739067</v>
      </c>
      <c r="AG70">
        <f t="shared" ref="AG70:AG104" si="53" xml:space="preserve"> $AH$1*SQRT(AE70)*2.58</f>
        <v>473450.13181554491</v>
      </c>
      <c r="AH70">
        <f t="shared" ref="AH70:AH104" si="54" xml:space="preserve"> $AH$1*SQRT(AE70)*2.8</f>
        <v>513821.84848198667</v>
      </c>
      <c r="AJ70">
        <v>66</v>
      </c>
      <c r="AK70">
        <f t="shared" ref="AK70:AK104" si="55" xml:space="preserve"> $AH$2*SQRT(AJ70)*1.96</f>
        <v>322828.27505324269</v>
      </c>
      <c r="AL70">
        <f t="shared" ref="AL70:AL104" si="56" xml:space="preserve"> $AH$2*SQRT(AJ70)*2.58</f>
        <v>424947.42328437051</v>
      </c>
      <c r="AM70">
        <f t="shared" ref="AM70:AM104" si="57" xml:space="preserve"> $AH$2*SQRT(AJ70)*2.8</f>
        <v>461183.250076061</v>
      </c>
      <c r="AO70">
        <v>66</v>
      </c>
      <c r="AP70">
        <f t="shared" ref="AP70:AP104" si="58" xml:space="preserve"> $AQ$2*SQRT(AO70)*1.96</f>
        <v>656590.15225920908</v>
      </c>
      <c r="AQ70">
        <f t="shared" ref="AQ70:AQ104" si="59" xml:space="preserve"> $AQ$2*SQRT(AO70)*2.58</f>
        <v>864287.03715753031</v>
      </c>
      <c r="AR70">
        <f t="shared" ref="AR70:AR104" si="60" xml:space="preserve"> $AQ$2*SQRT(AO70)*2.8</f>
        <v>937985.93179886998</v>
      </c>
      <c r="AT70">
        <f t="shared" ref="AT70:AT104" si="61" xml:space="preserve"> AF70+AK70</f>
        <v>682503.56899063336</v>
      </c>
      <c r="AU70" t="b">
        <f t="shared" ref="AU70:AU104" si="62" xml:space="preserve"> AT70=AP70</f>
        <v>0</v>
      </c>
      <c r="AV70">
        <f t="shared" ref="AV70:AV104" si="63" xml:space="preserve"> AG70+AL70</f>
        <v>898397.55509991548</v>
      </c>
      <c r="AW70" t="b">
        <f t="shared" ref="AW70:AW104" si="64" xml:space="preserve"> AV70=AQ70</f>
        <v>0</v>
      </c>
      <c r="AX70">
        <f t="shared" ref="AX70:AX104" si="65" xml:space="preserve"> AH70+AM70</f>
        <v>975005.09855804767</v>
      </c>
      <c r="AY70" t="b">
        <f t="shared" ref="AY70:AY104" si="66" xml:space="preserve"> AX70=AR70</f>
        <v>0</v>
      </c>
      <c r="BA70">
        <v>66</v>
      </c>
      <c r="BB70">
        <f t="shared" ref="BB70:BB127" si="67" xml:space="preserve"> H71*$BB$1^BA70</f>
        <v>-7.9684959776588353E-4</v>
      </c>
      <c r="BC70">
        <f t="shared" ref="BC70:BC128" si="68" xml:space="preserve"> R71*$BB$1^BA70</f>
        <v>-5.018489334364701E-4</v>
      </c>
      <c r="BD70">
        <f t="shared" ref="BD70:BD128" si="69" xml:space="preserve"> Y71*$BB$1^BA70</f>
        <v>-6.4129495493237768E-4</v>
      </c>
      <c r="BG70">
        <v>65</v>
      </c>
      <c r="BH70">
        <f t="shared" si="24"/>
        <v>58593.523827803714</v>
      </c>
      <c r="BI70">
        <f t="shared" si="25"/>
        <v>77128.209936598767</v>
      </c>
      <c r="BJ70">
        <f t="shared" si="26"/>
        <v>83705.034039719583</v>
      </c>
      <c r="BL70">
        <v>65</v>
      </c>
      <c r="BM70">
        <f t="shared" si="27"/>
        <v>41056.709773892544</v>
      </c>
      <c r="BN70">
        <f t="shared" si="28"/>
        <v>54044.036335021825</v>
      </c>
      <c r="BO70">
        <f t="shared" si="29"/>
        <v>58652.442534132206</v>
      </c>
      <c r="BQ70">
        <v>65</v>
      </c>
      <c r="BR70">
        <f t="shared" si="30"/>
        <v>92735.205390776391</v>
      </c>
      <c r="BS70">
        <f t="shared" si="31"/>
        <v>122069.81117765464</v>
      </c>
      <c r="BT70">
        <f t="shared" si="32"/>
        <v>132478.86484396626</v>
      </c>
      <c r="BV70" t="b">
        <f t="shared" si="33"/>
        <v>0</v>
      </c>
      <c r="BW70" t="b">
        <f t="shared" si="34"/>
        <v>0</v>
      </c>
      <c r="BX70" t="b">
        <f t="shared" si="35"/>
        <v>0</v>
      </c>
      <c r="CB70">
        <v>-2.2149036547964268E-2</v>
      </c>
      <c r="CC70">
        <v>65</v>
      </c>
      <c r="CD70">
        <v>-4.3348301656713668E-3</v>
      </c>
      <c r="CG70">
        <v>-1.6224221049815794E-2</v>
      </c>
      <c r="CH70">
        <v>-2.5351254344874135E-3</v>
      </c>
      <c r="CK70">
        <v>-1.9033787743428621E-2</v>
      </c>
      <c r="CL70">
        <v>-1.3728961380352518E-3</v>
      </c>
      <c r="CP70">
        <v>65</v>
      </c>
      <c r="CQ70">
        <f t="shared" si="36"/>
        <v>260588.80253614581</v>
      </c>
      <c r="CR70">
        <f t="shared" si="37"/>
        <v>447929.56325240858</v>
      </c>
      <c r="CS70">
        <f t="shared" si="38"/>
        <v>484124.53975547716</v>
      </c>
      <c r="CT70">
        <f t="shared" si="39"/>
        <v>238284.66533839004</v>
      </c>
      <c r="CU70">
        <f t="shared" ref="CU70:CU105" si="70" xml:space="preserve"> $CJ$16*SQRT(CP70)</f>
        <v>381738.56763377169</v>
      </c>
      <c r="CV70">
        <f t="shared" ref="CV70:CV105" si="71" xml:space="preserve"> $CJ$19*SQRT(CP70)</f>
        <v>405565.32958500081</v>
      </c>
      <c r="CW70">
        <f t="shared" si="43"/>
        <v>461284.41397673398</v>
      </c>
      <c r="CX70">
        <f t="shared" si="44"/>
        <v>783122.0418590703</v>
      </c>
      <c r="CY70">
        <f t="shared" si="45"/>
        <v>846276.13847451063</v>
      </c>
      <c r="DB70" t="b">
        <f t="shared" si="40"/>
        <v>0</v>
      </c>
      <c r="DC70" t="b">
        <f t="shared" si="41"/>
        <v>0</v>
      </c>
      <c r="DD70" t="b">
        <f t="shared" si="42"/>
        <v>0</v>
      </c>
    </row>
    <row r="71" spans="1:108" x14ac:dyDescent="0.25">
      <c r="A71" s="1">
        <v>44595</v>
      </c>
      <c r="B71">
        <v>134</v>
      </c>
      <c r="C71">
        <v>139.020004</v>
      </c>
      <c r="D71">
        <v>130.070007</v>
      </c>
      <c r="E71">
        <v>132.91000399999999</v>
      </c>
      <c r="F71">
        <v>132.91000399999999</v>
      </c>
      <c r="G71">
        <v>2912500</v>
      </c>
      <c r="H71">
        <f xml:space="preserve"> (ENPH[[#This Row],[Close]]-E70)/E70</f>
        <v>-4.7308373855221034E-2</v>
      </c>
      <c r="K71" s="1">
        <v>44595</v>
      </c>
      <c r="L71">
        <v>232.11000100000001</v>
      </c>
      <c r="M71">
        <v>238.05999800000001</v>
      </c>
      <c r="N71">
        <v>228.509995</v>
      </c>
      <c r="O71">
        <v>231.199997</v>
      </c>
      <c r="P71">
        <v>231.199997</v>
      </c>
      <c r="Q71">
        <v>635300</v>
      </c>
      <c r="R71">
        <f xml:space="preserve"> (SEDG4[[#This Row],[Close]]-O70)/O70</f>
        <v>-2.9794401639180877E-2</v>
      </c>
      <c r="V71">
        <f xml:space="preserve"> X71/(2*ENPH[[#This Row],[Close]])</f>
        <v>2305.4288875570264</v>
      </c>
      <c r="W71">
        <f xml:space="preserve"> X71/(2*SEDG4[[#This Row],[Close]])</f>
        <v>1325.3225200816933</v>
      </c>
      <c r="X71">
        <f t="shared" si="49"/>
        <v>612829.12533383979</v>
      </c>
      <c r="Y71">
        <f t="shared" ref="Y71:Y129" si="72" xml:space="preserve"> (X71-X70)/X70</f>
        <v>-3.8073209253625818E-2</v>
      </c>
      <c r="Z71">
        <f xml:space="preserve"> V71*ENPH[[#This Row],[Close]]</f>
        <v>306414.5626669199</v>
      </c>
      <c r="AA71">
        <f xml:space="preserve"> W71*SEDG4[[#This Row],[Close]]</f>
        <v>306414.5626669199</v>
      </c>
      <c r="AB71">
        <f t="shared" si="50"/>
        <v>612829.12533383979</v>
      </c>
      <c r="AC71" t="b">
        <f t="shared" si="51"/>
        <v>1</v>
      </c>
      <c r="AE71">
        <v>67</v>
      </c>
      <c r="AF71">
        <f t="shared" si="52"/>
        <v>362389.86296820483</v>
      </c>
      <c r="AG71">
        <f t="shared" si="53"/>
        <v>477023.39104998391</v>
      </c>
      <c r="AH71">
        <f t="shared" si="54"/>
        <v>517699.80424029258</v>
      </c>
      <c r="AJ71">
        <v>67</v>
      </c>
      <c r="AK71">
        <f t="shared" si="55"/>
        <v>325264.74943027692</v>
      </c>
      <c r="AL71">
        <f t="shared" si="56"/>
        <v>428154.61914801755</v>
      </c>
      <c r="AM71">
        <f t="shared" si="57"/>
        <v>464663.92775753839</v>
      </c>
      <c r="AO71">
        <v>67</v>
      </c>
      <c r="AP71">
        <f t="shared" si="58"/>
        <v>661545.61993603711</v>
      </c>
      <c r="AQ71">
        <f t="shared" si="59"/>
        <v>870810.05073213053</v>
      </c>
      <c r="AR71">
        <f t="shared" si="60"/>
        <v>945065.17133719579</v>
      </c>
      <c r="AT71">
        <f t="shared" si="61"/>
        <v>687654.61239848169</v>
      </c>
      <c r="AU71" t="b">
        <f t="shared" si="62"/>
        <v>0</v>
      </c>
      <c r="AV71">
        <f t="shared" si="63"/>
        <v>905178.01019800152</v>
      </c>
      <c r="AW71" t="b">
        <f t="shared" si="64"/>
        <v>0</v>
      </c>
      <c r="AX71">
        <f t="shared" si="65"/>
        <v>982363.73199783103</v>
      </c>
      <c r="AY71" t="b">
        <f t="shared" si="66"/>
        <v>0</v>
      </c>
      <c r="BA71">
        <v>67</v>
      </c>
      <c r="BB71">
        <f t="shared" si="67"/>
        <v>9.9113184178451549E-4</v>
      </c>
      <c r="BC71">
        <f t="shared" si="68"/>
        <v>4.8348493357968687E-4</v>
      </c>
      <c r="BD71">
        <f t="shared" si="69"/>
        <v>7.2114444881377928E-4</v>
      </c>
      <c r="BG71">
        <v>66</v>
      </c>
      <c r="BH71">
        <f t="shared" ref="BH71:BH105" si="73" xml:space="preserve"> $BK$1*SQRT(BG71)*1.96</f>
        <v>59042.522913694687</v>
      </c>
      <c r="BI71">
        <f t="shared" ref="BI71:BI105" si="74" xml:space="preserve"> $BK$1*SQRT(BG71)*2.58</f>
        <v>77719.239345577706</v>
      </c>
      <c r="BJ71">
        <f t="shared" ref="BJ71:BJ105" si="75" xml:space="preserve"> $BK$1*SQRT(BG71)*2.8</f>
        <v>84346.461305278121</v>
      </c>
      <c r="BL71">
        <v>66</v>
      </c>
      <c r="BM71">
        <f t="shared" ref="BM71:BM105" si="76" xml:space="preserve"> $BK$2*SQRT(BL71)*1.96</f>
        <v>41371.325177675812</v>
      </c>
      <c r="BN71">
        <f t="shared" ref="BN71:BN105" si="77" xml:space="preserve"> $BK$2*SQRT(BL71)*2.58</f>
        <v>54458.172937961019</v>
      </c>
      <c r="BO71">
        <f t="shared" ref="BO71:BO105" si="78" xml:space="preserve"> $BK$2*SQRT(BL71)*2.8</f>
        <v>59101.893110965437</v>
      </c>
      <c r="BQ71">
        <v>66</v>
      </c>
      <c r="BR71">
        <f t="shared" ref="BR71:BR105" si="79" xml:space="preserve"> $BK$3*SQRT(BQ71)*1.96</f>
        <v>93445.830383612411</v>
      </c>
      <c r="BS71">
        <f t="shared" ref="BS71:BS105" si="80" xml:space="preserve"> $BK$3*SQRT(BQ71)*2.58</f>
        <v>123005.22570904084</v>
      </c>
      <c r="BT71">
        <f t="shared" ref="BT71:BT105" si="81" xml:space="preserve"> $BK$3*SQRT(BQ71)*2.8</f>
        <v>133494.04340516057</v>
      </c>
      <c r="BV71" t="b">
        <f t="shared" ref="BV71:BV105" si="82" xml:space="preserve"> BH71+BM71=BR71</f>
        <v>0</v>
      </c>
      <c r="BW71" t="b">
        <f t="shared" ref="BW71:BW105" si="83" xml:space="preserve"> BI71+BN71=BS71</f>
        <v>0</v>
      </c>
      <c r="BX71" t="b">
        <f t="shared" ref="BX71:BX105" si="84" xml:space="preserve"> BJ71+BO71=BT71</f>
        <v>0</v>
      </c>
      <c r="CB71">
        <v>-4.7308373855221034E-2</v>
      </c>
      <c r="CC71">
        <v>66</v>
      </c>
      <c r="CD71">
        <v>-3.2570417972680515E-3</v>
      </c>
      <c r="CG71">
        <v>-2.9794401639180877E-2</v>
      </c>
      <c r="CH71">
        <v>-2.2603479613202537E-3</v>
      </c>
      <c r="CK71">
        <v>-3.8073209253625818E-2</v>
      </c>
      <c r="CL71">
        <v>-1.1028442573468714E-3</v>
      </c>
      <c r="CP71">
        <v>66</v>
      </c>
      <c r="CQ71">
        <f t="shared" ref="CQ71:CQ105" si="85" xml:space="preserve"> $CF$10*SQRT(CP71)</f>
        <v>262585.68079996231</v>
      </c>
      <c r="CR71">
        <f t="shared" ref="CR71:CR105" si="86" xml:space="preserve"> $CF$16*SQRT(CP71)</f>
        <v>451362.02389490092</v>
      </c>
      <c r="CS71">
        <f t="shared" ref="CS71:CS105" si="87" xml:space="preserve"> $CF$23*SQRT(CP71)</f>
        <v>487834.36059585563</v>
      </c>
      <c r="CT71">
        <f t="shared" ref="CT71:CT105" si="88" xml:space="preserve"> $CJ$11*SQRT(CP71)</f>
        <v>240110.62817403034</v>
      </c>
      <c r="CU71">
        <f t="shared" si="70"/>
        <v>384663.81016433891</v>
      </c>
      <c r="CV71">
        <f t="shared" si="71"/>
        <v>408673.15533700533</v>
      </c>
      <c r="CW71">
        <f t="shared" si="43"/>
        <v>464819.21213668061</v>
      </c>
      <c r="CX71">
        <f t="shared" si="44"/>
        <v>789123.06480435608</v>
      </c>
      <c r="CY71">
        <f t="shared" si="45"/>
        <v>852761.10793466959</v>
      </c>
      <c r="DB71" t="b">
        <f t="shared" ref="DB71:DB105" si="89" xml:space="preserve"> CQ71+CT71=CW71</f>
        <v>0</v>
      </c>
      <c r="DC71" t="b">
        <f t="shared" ref="DC71:DC105" si="90" xml:space="preserve"> CR71+CU71=CX71</f>
        <v>0</v>
      </c>
      <c r="DD71" t="b">
        <f t="shared" ref="DD71:DD105" si="91" xml:space="preserve"> CS71+CV71=CY71</f>
        <v>0</v>
      </c>
    </row>
    <row r="72" spans="1:108" x14ac:dyDescent="0.25">
      <c r="A72" s="1">
        <v>44596</v>
      </c>
      <c r="B72">
        <v>133.720001</v>
      </c>
      <c r="C72">
        <v>143.41999799999999</v>
      </c>
      <c r="D72">
        <v>131.64999399999999</v>
      </c>
      <c r="E72">
        <v>141.229996</v>
      </c>
      <c r="F72">
        <v>141.229996</v>
      </c>
      <c r="G72">
        <v>2536900</v>
      </c>
      <c r="H72">
        <f xml:space="preserve"> (ENPH[[#This Row],[Close]]-E71)/E71</f>
        <v>6.259868895948581E-2</v>
      </c>
      <c r="K72" s="1">
        <v>44596</v>
      </c>
      <c r="L72">
        <v>229.88999899999999</v>
      </c>
      <c r="M72">
        <v>242</v>
      </c>
      <c r="N72">
        <v>227.240005</v>
      </c>
      <c r="O72">
        <v>238.259995</v>
      </c>
      <c r="P72">
        <v>238.259995</v>
      </c>
      <c r="Q72">
        <v>606200</v>
      </c>
      <c r="R72">
        <f xml:space="preserve"> (SEDG4[[#This Row],[Close]]-O71)/O71</f>
        <v>3.0536323925644374E-2</v>
      </c>
      <c r="V72">
        <f xml:space="preserve"> X72/(2*ENPH[[#This Row],[Close]])</f>
        <v>2268.4324634727814</v>
      </c>
      <c r="W72">
        <f xml:space="preserve"> X72/(2*SEDG4[[#This Row],[Close]])</f>
        <v>1344.626519204498</v>
      </c>
      <c r="X72">
        <f t="shared" si="49"/>
        <v>640741.41548506217</v>
      </c>
      <c r="Y72">
        <f t="shared" si="72"/>
        <v>4.5546611604037432E-2</v>
      </c>
      <c r="Z72">
        <f xml:space="preserve"> V72*ENPH[[#This Row],[Close]]</f>
        <v>320370.70774253109</v>
      </c>
      <c r="AA72">
        <f xml:space="preserve"> W72*SEDG4[[#This Row],[Close]]</f>
        <v>320370.70774253109</v>
      </c>
      <c r="AB72">
        <f t="shared" si="50"/>
        <v>640741.41548506217</v>
      </c>
      <c r="AC72" t="b">
        <f t="shared" si="51"/>
        <v>1</v>
      </c>
      <c r="AE72">
        <v>68</v>
      </c>
      <c r="AF72">
        <f t="shared" si="52"/>
        <v>365084.24848968786</v>
      </c>
      <c r="AG72">
        <f t="shared" si="53"/>
        <v>480570.08219560952</v>
      </c>
      <c r="AH72">
        <f t="shared" si="54"/>
        <v>521548.92641383974</v>
      </c>
      <c r="AJ72">
        <v>68</v>
      </c>
      <c r="AK72">
        <f t="shared" si="55"/>
        <v>327683.10800227319</v>
      </c>
      <c r="AL72">
        <f t="shared" si="56"/>
        <v>431337.96869686985</v>
      </c>
      <c r="AM72">
        <f t="shared" si="57"/>
        <v>468118.72571753309</v>
      </c>
      <c r="AO72">
        <v>68</v>
      </c>
      <c r="AP72">
        <f t="shared" si="58"/>
        <v>666464.24245366687</v>
      </c>
      <c r="AQ72">
        <f t="shared" si="59"/>
        <v>877284.56404615345</v>
      </c>
      <c r="AR72">
        <f t="shared" si="60"/>
        <v>952091.77493380988</v>
      </c>
      <c r="AT72">
        <f t="shared" si="61"/>
        <v>692767.35649196105</v>
      </c>
      <c r="AU72" t="b">
        <f t="shared" si="62"/>
        <v>0</v>
      </c>
      <c r="AV72">
        <f t="shared" si="63"/>
        <v>911908.05089247937</v>
      </c>
      <c r="AW72" t="b">
        <f t="shared" si="64"/>
        <v>0</v>
      </c>
      <c r="AX72">
        <f t="shared" si="65"/>
        <v>989667.65213137283</v>
      </c>
      <c r="AY72" t="b">
        <f t="shared" si="66"/>
        <v>0</v>
      </c>
      <c r="BA72">
        <v>68</v>
      </c>
      <c r="BB72">
        <f t="shared" si="67"/>
        <v>-4.8474950763611528E-5</v>
      </c>
      <c r="BC72">
        <f t="shared" si="68"/>
        <v>1.6928293059902585E-4</v>
      </c>
      <c r="BD72">
        <f t="shared" si="69"/>
        <v>6.5674947201283969E-5</v>
      </c>
      <c r="BG72">
        <v>67</v>
      </c>
      <c r="BH72">
        <f t="shared" si="73"/>
        <v>59488.133181912192</v>
      </c>
      <c r="BI72">
        <f t="shared" si="74"/>
        <v>78305.807963945641</v>
      </c>
      <c r="BJ72">
        <f t="shared" si="75"/>
        <v>84983.047402731696</v>
      </c>
      <c r="BL72">
        <v>67</v>
      </c>
      <c r="BM72">
        <f t="shared" si="76"/>
        <v>41683.566023750187</v>
      </c>
      <c r="BN72">
        <f t="shared" si="77"/>
        <v>54869.183847589527</v>
      </c>
      <c r="BO72">
        <f t="shared" si="78"/>
        <v>59547.951462500263</v>
      </c>
      <c r="BQ72">
        <v>67</v>
      </c>
      <c r="BR72">
        <f t="shared" si="79"/>
        <v>94151.091938947997</v>
      </c>
      <c r="BS72">
        <f t="shared" si="80"/>
        <v>123933.58020534992</v>
      </c>
      <c r="BT72">
        <f t="shared" si="81"/>
        <v>134501.55991278283</v>
      </c>
      <c r="BV72" t="b">
        <f t="shared" si="82"/>
        <v>0</v>
      </c>
      <c r="BW72" t="b">
        <f t="shared" si="83"/>
        <v>0</v>
      </c>
      <c r="BX72" t="b">
        <f t="shared" si="84"/>
        <v>0</v>
      </c>
      <c r="CB72">
        <v>6.259868895948581E-2</v>
      </c>
      <c r="CC72">
        <v>67</v>
      </c>
      <c r="CD72">
        <v>-2.5195318492344711E-3</v>
      </c>
      <c r="CG72">
        <v>3.0536323925644374E-2</v>
      </c>
      <c r="CH72">
        <v>-1.3760295230223363E-3</v>
      </c>
      <c r="CK72">
        <v>4.5546611604037432E-2</v>
      </c>
      <c r="CL72">
        <v>2.967287434187107E-5</v>
      </c>
      <c r="CP72">
        <v>67</v>
      </c>
      <c r="CQ72">
        <f t="shared" si="85"/>
        <v>264567.48763810145</v>
      </c>
      <c r="CR72">
        <f t="shared" si="86"/>
        <v>454768.57806307235</v>
      </c>
      <c r="CS72">
        <f t="shared" si="87"/>
        <v>491516.18158762786</v>
      </c>
      <c r="CT72">
        <f t="shared" si="88"/>
        <v>241922.80956707319</v>
      </c>
      <c r="CU72">
        <f t="shared" si="70"/>
        <v>387566.974445978</v>
      </c>
      <c r="CV72">
        <f t="shared" si="71"/>
        <v>411757.52479440829</v>
      </c>
      <c r="CW72">
        <f t="shared" ref="CW72:CW105" si="92" xml:space="preserve"> $CW$6*SQRT(CP72)</f>
        <v>468327.33143056044</v>
      </c>
      <c r="CX72">
        <f t="shared" ref="CX72:CX105" si="93" xml:space="preserve"> $CX$6*SQRT(CP72)</f>
        <v>795078.79506808647</v>
      </c>
      <c r="CY72">
        <f t="shared" ref="CY72:CY105" si="94" xml:space="preserve"> $CY$6*SQRT(CP72)</f>
        <v>859197.13213010726</v>
      </c>
      <c r="DB72" t="b">
        <f t="shared" si="89"/>
        <v>0</v>
      </c>
      <c r="DC72" t="b">
        <f t="shared" si="90"/>
        <v>0</v>
      </c>
      <c r="DD72" t="b">
        <f t="shared" si="91"/>
        <v>0</v>
      </c>
    </row>
    <row r="73" spans="1:108" x14ac:dyDescent="0.25">
      <c r="A73" s="1">
        <v>44599</v>
      </c>
      <c r="B73">
        <v>140.520004</v>
      </c>
      <c r="C73">
        <v>146.740005</v>
      </c>
      <c r="D73">
        <v>139.470001</v>
      </c>
      <c r="E73">
        <v>140.770004</v>
      </c>
      <c r="F73">
        <v>140.770004</v>
      </c>
      <c r="G73">
        <v>3609400</v>
      </c>
      <c r="H73">
        <f xml:space="preserve"> (ENPH[[#This Row],[Close]]-E72)/E72</f>
        <v>-3.2570417972680515E-3</v>
      </c>
      <c r="K73" s="1">
        <v>44599</v>
      </c>
      <c r="L73">
        <v>239.33000200000001</v>
      </c>
      <c r="M73">
        <v>247.529999</v>
      </c>
      <c r="N73">
        <v>238.36999499999999</v>
      </c>
      <c r="O73">
        <v>240.970001</v>
      </c>
      <c r="P73">
        <v>240.970001</v>
      </c>
      <c r="Q73">
        <v>643700</v>
      </c>
      <c r="R73">
        <f xml:space="preserve"> (SEDG4[[#This Row],[Close]]-O72)/O72</f>
        <v>1.1374154523926658E-2</v>
      </c>
      <c r="V73">
        <f xml:space="preserve"> X73/(2*ENPH[[#This Row],[Close]])</f>
        <v>2285.8876365946476</v>
      </c>
      <c r="W73">
        <f xml:space="preserve"> X73/(2*SEDG4[[#This Row],[Close]])</f>
        <v>1335.371251241266</v>
      </c>
      <c r="X73">
        <f t="shared" si="49"/>
        <v>643568.82349395822</v>
      </c>
      <c r="Y73">
        <f t="shared" si="72"/>
        <v>4.4127130548531927E-3</v>
      </c>
      <c r="Z73">
        <f xml:space="preserve"> V73*ENPH[[#This Row],[Close]]</f>
        <v>321784.41174697911</v>
      </c>
      <c r="AA73">
        <f xml:space="preserve"> W73*SEDG4[[#This Row],[Close]]</f>
        <v>321784.41174697911</v>
      </c>
      <c r="AB73">
        <f t="shared" si="50"/>
        <v>643568.82349395822</v>
      </c>
      <c r="AC73" t="b">
        <f t="shared" si="51"/>
        <v>1</v>
      </c>
      <c r="AE73">
        <v>69</v>
      </c>
      <c r="AF73">
        <f t="shared" si="52"/>
        <v>367758.89412554802</v>
      </c>
      <c r="AG73">
        <f t="shared" si="53"/>
        <v>484090.78920607851</v>
      </c>
      <c r="AH73">
        <f t="shared" si="54"/>
        <v>525369.8487507829</v>
      </c>
      <c r="AJ73">
        <v>69</v>
      </c>
      <c r="AK73">
        <f t="shared" si="55"/>
        <v>330083.74894580635</v>
      </c>
      <c r="AL73">
        <f t="shared" si="56"/>
        <v>434497.99606131657</v>
      </c>
      <c r="AM73">
        <f t="shared" si="57"/>
        <v>471548.21277972334</v>
      </c>
      <c r="AO73">
        <v>69</v>
      </c>
      <c r="AP73">
        <f t="shared" si="58"/>
        <v>671346.82965075853</v>
      </c>
      <c r="AQ73">
        <f t="shared" si="59"/>
        <v>883711.64311171276</v>
      </c>
      <c r="AR73">
        <f t="shared" si="60"/>
        <v>959066.89950108354</v>
      </c>
      <c r="AT73">
        <f t="shared" si="61"/>
        <v>697842.64307135437</v>
      </c>
      <c r="AU73" t="b">
        <f t="shared" si="62"/>
        <v>0</v>
      </c>
      <c r="AV73">
        <f t="shared" si="63"/>
        <v>918588.78526739508</v>
      </c>
      <c r="AW73" t="b">
        <f t="shared" si="64"/>
        <v>0</v>
      </c>
      <c r="AX73">
        <f t="shared" si="65"/>
        <v>996918.06153050624</v>
      </c>
      <c r="AY73" t="b">
        <f t="shared" si="66"/>
        <v>0</v>
      </c>
      <c r="BA73">
        <v>69</v>
      </c>
      <c r="BB73">
        <f t="shared" si="67"/>
        <v>3.7069791343700401E-4</v>
      </c>
      <c r="BC73">
        <f t="shared" si="68"/>
        <v>4.4936600682529676E-4</v>
      </c>
      <c r="BD73">
        <f t="shared" si="69"/>
        <v>4.1222198395440428E-4</v>
      </c>
      <c r="BG73">
        <v>68</v>
      </c>
      <c r="BH73">
        <f t="shared" si="73"/>
        <v>59930.430224750453</v>
      </c>
      <c r="BI73">
        <f t="shared" si="74"/>
        <v>78888.015295844976</v>
      </c>
      <c r="BJ73">
        <f t="shared" si="75"/>
        <v>85614.900321072069</v>
      </c>
      <c r="BL73">
        <v>68</v>
      </c>
      <c r="BM73">
        <f t="shared" si="76"/>
        <v>41993.485279929897</v>
      </c>
      <c r="BN73">
        <f t="shared" si="77"/>
        <v>55277.138786846503</v>
      </c>
      <c r="BO73">
        <f t="shared" si="78"/>
        <v>59990.693257042709</v>
      </c>
      <c r="BQ73">
        <v>68</v>
      </c>
      <c r="BR73">
        <f t="shared" si="79"/>
        <v>94851.109695720559</v>
      </c>
      <c r="BS73">
        <f t="shared" si="80"/>
        <v>124855.03215048931</v>
      </c>
      <c r="BT73">
        <f t="shared" si="81"/>
        <v>135501.58527960078</v>
      </c>
      <c r="BV73" t="b">
        <f t="shared" si="82"/>
        <v>0</v>
      </c>
      <c r="BW73" t="b">
        <f t="shared" si="83"/>
        <v>0</v>
      </c>
      <c r="BX73" t="b">
        <f t="shared" si="84"/>
        <v>0</v>
      </c>
      <c r="CB73">
        <v>-3.2570417972680515E-3</v>
      </c>
      <c r="CC73">
        <v>68</v>
      </c>
      <c r="CD73">
        <v>-1.6850995644286926E-3</v>
      </c>
      <c r="CG73">
        <v>1.1374154523926658E-2</v>
      </c>
      <c r="CH73">
        <v>-2.6813359788773947E-4</v>
      </c>
      <c r="CK73">
        <v>4.4127130548531927E-3</v>
      </c>
      <c r="CL73">
        <v>6.6204684699636921E-4</v>
      </c>
      <c r="CP73">
        <v>68</v>
      </c>
      <c r="CQ73">
        <f t="shared" si="85"/>
        <v>266534.55923968699</v>
      </c>
      <c r="CR73">
        <f t="shared" si="86"/>
        <v>458149.80363688502</v>
      </c>
      <c r="CS73">
        <f t="shared" si="87"/>
        <v>495170.62730638275</v>
      </c>
      <c r="CT73">
        <f t="shared" si="88"/>
        <v>243721.5169317745</v>
      </c>
      <c r="CU73">
        <f t="shared" si="70"/>
        <v>390448.55296475638</v>
      </c>
      <c r="CV73">
        <f t="shared" si="71"/>
        <v>414818.96118250361</v>
      </c>
      <c r="CW73">
        <f t="shared" si="92"/>
        <v>471809.36696760851</v>
      </c>
      <c r="CX73">
        <f t="shared" si="93"/>
        <v>800990.24296655483</v>
      </c>
      <c r="CY73">
        <f t="shared" si="94"/>
        <v>865585.30285306764</v>
      </c>
      <c r="DB73" t="b">
        <f t="shared" si="89"/>
        <v>0</v>
      </c>
      <c r="DC73" t="b">
        <f t="shared" si="90"/>
        <v>0</v>
      </c>
      <c r="DD73" t="b">
        <f t="shared" si="91"/>
        <v>0</v>
      </c>
    </row>
    <row r="74" spans="1:108" x14ac:dyDescent="0.25">
      <c r="A74" s="1">
        <v>44600</v>
      </c>
      <c r="B74">
        <v>139.199997</v>
      </c>
      <c r="C74">
        <v>145.66999799999999</v>
      </c>
      <c r="D74">
        <v>137.179993</v>
      </c>
      <c r="E74">
        <v>144.5</v>
      </c>
      <c r="F74">
        <v>144.5</v>
      </c>
      <c r="G74">
        <v>4026400</v>
      </c>
      <c r="H74">
        <f xml:space="preserve"> (ENPH[[#This Row],[Close]]-E73)/E73</f>
        <v>2.6497093798477124E-2</v>
      </c>
      <c r="K74" s="1">
        <v>44600</v>
      </c>
      <c r="L74">
        <v>239.63999899999999</v>
      </c>
      <c r="M74">
        <v>249.41999799999999</v>
      </c>
      <c r="N74">
        <v>238.679993</v>
      </c>
      <c r="O74">
        <v>248.71000699999999</v>
      </c>
      <c r="P74">
        <v>248.71000699999999</v>
      </c>
      <c r="Q74">
        <v>562200</v>
      </c>
      <c r="R74">
        <f xml:space="preserve"> (SEDG4[[#This Row],[Close]]-O73)/O73</f>
        <v>3.2120205701455733E-2</v>
      </c>
      <c r="V74">
        <f xml:space="preserve"> X74/(2*ENPH[[#This Row],[Close]])</f>
        <v>2292.4972365714402</v>
      </c>
      <c r="W74">
        <f xml:space="preserve"> X74/(2*SEDG4[[#This Row],[Close]])</f>
        <v>1331.936156009087</v>
      </c>
      <c r="X74">
        <f t="shared" si="49"/>
        <v>662531.70136914623</v>
      </c>
      <c r="Y74">
        <f t="shared" si="72"/>
        <v>2.9465190330752618E-2</v>
      </c>
      <c r="Z74">
        <f xml:space="preserve"> V74*ENPH[[#This Row],[Close]]</f>
        <v>331265.85068457312</v>
      </c>
      <c r="AA74">
        <f xml:space="preserve"> W74*SEDG4[[#This Row],[Close]]</f>
        <v>331265.85068457312</v>
      </c>
      <c r="AB74">
        <f t="shared" si="50"/>
        <v>662531.70136914623</v>
      </c>
      <c r="AC74" t="b">
        <f t="shared" si="51"/>
        <v>1</v>
      </c>
      <c r="AE74">
        <v>70</v>
      </c>
      <c r="AF74">
        <f t="shared" si="52"/>
        <v>370414.22748270875</v>
      </c>
      <c r="AG74">
        <f t="shared" si="53"/>
        <v>487586.07495172886</v>
      </c>
      <c r="AH74">
        <f t="shared" si="54"/>
        <v>529163.1821181553</v>
      </c>
      <c r="AJ74">
        <v>70</v>
      </c>
      <c r="AK74">
        <f t="shared" si="55"/>
        <v>332467.05606150936</v>
      </c>
      <c r="AL74">
        <f t="shared" si="56"/>
        <v>437635.20644831331</v>
      </c>
      <c r="AM74">
        <f t="shared" si="57"/>
        <v>474952.93723072758</v>
      </c>
      <c r="AO74">
        <v>70</v>
      </c>
      <c r="AP74">
        <f t="shared" si="58"/>
        <v>676194.16212720214</v>
      </c>
      <c r="AQ74">
        <f t="shared" si="59"/>
        <v>890092.3154531538</v>
      </c>
      <c r="AR74">
        <f t="shared" si="60"/>
        <v>965991.66018171725</v>
      </c>
      <c r="AT74">
        <f t="shared" si="61"/>
        <v>702881.28354421817</v>
      </c>
      <c r="AU74" t="b">
        <f t="shared" si="62"/>
        <v>0</v>
      </c>
      <c r="AV74">
        <f t="shared" si="63"/>
        <v>925221.28140004212</v>
      </c>
      <c r="AW74" t="b">
        <f t="shared" si="64"/>
        <v>0</v>
      </c>
      <c r="AX74">
        <f t="shared" si="65"/>
        <v>1004116.1193488829</v>
      </c>
      <c r="AY74" t="b">
        <f t="shared" si="66"/>
        <v>0</v>
      </c>
      <c r="BA74">
        <v>70</v>
      </c>
      <c r="BB74">
        <f t="shared" si="67"/>
        <v>1.5826375362867681E-3</v>
      </c>
      <c r="BC74">
        <f t="shared" si="68"/>
        <v>9.1316431246064259E-4</v>
      </c>
      <c r="BD74">
        <f t="shared" si="69"/>
        <v>1.2283522460865403E-3</v>
      </c>
      <c r="BG74">
        <v>69</v>
      </c>
      <c r="BH74">
        <f t="shared" si="73"/>
        <v>60369.486865290171</v>
      </c>
      <c r="BI74">
        <f t="shared" si="74"/>
        <v>79465.957200228906</v>
      </c>
      <c r="BJ74">
        <f t="shared" si="75"/>
        <v>86242.124093271676</v>
      </c>
      <c r="BL74">
        <v>69</v>
      </c>
      <c r="BM74">
        <f t="shared" si="76"/>
        <v>42301.133973630509</v>
      </c>
      <c r="BN74">
        <f t="shared" si="77"/>
        <v>55682.104924472813</v>
      </c>
      <c r="BO74">
        <f t="shared" si="78"/>
        <v>60430.19139090072</v>
      </c>
      <c r="BQ74">
        <v>69</v>
      </c>
      <c r="BR74">
        <f t="shared" si="79"/>
        <v>95545.998910069437</v>
      </c>
      <c r="BS74">
        <f t="shared" si="80"/>
        <v>125769.73325917304</v>
      </c>
      <c r="BT74">
        <f t="shared" si="81"/>
        <v>136494.28415724204</v>
      </c>
      <c r="BV74" t="b">
        <f t="shared" si="82"/>
        <v>0</v>
      </c>
      <c r="BW74" t="b">
        <f t="shared" si="83"/>
        <v>0</v>
      </c>
      <c r="BX74" t="b">
        <f t="shared" si="84"/>
        <v>0</v>
      </c>
      <c r="CB74">
        <v>2.6497093798477124E-2</v>
      </c>
      <c r="CC74">
        <v>69</v>
      </c>
      <c r="CD74">
        <v>-1.4910342874871574E-3</v>
      </c>
      <c r="CG74">
        <v>3.2120205701455733E-2</v>
      </c>
      <c r="CH74">
        <v>1.4269069923830836E-3</v>
      </c>
      <c r="CK74">
        <v>2.9465190330752618E-2</v>
      </c>
      <c r="CL74">
        <v>9.4715343243157802E-4</v>
      </c>
      <c r="CP74">
        <v>69</v>
      </c>
      <c r="CQ74">
        <f t="shared" si="85"/>
        <v>268487.21947804419</v>
      </c>
      <c r="CR74">
        <f t="shared" si="86"/>
        <v>461506.25732651108</v>
      </c>
      <c r="CS74">
        <f t="shared" si="87"/>
        <v>498798.29944729287</v>
      </c>
      <c r="CT74">
        <f t="shared" si="88"/>
        <v>245507.04642071712</v>
      </c>
      <c r="CU74">
        <f t="shared" si="70"/>
        <v>393309.02016523218</v>
      </c>
      <c r="CV74">
        <f t="shared" si="71"/>
        <v>417857.96855898912</v>
      </c>
      <c r="CW74">
        <f t="shared" si="92"/>
        <v>475265.89205610054</v>
      </c>
      <c r="CX74">
        <f t="shared" si="93"/>
        <v>806858.38180458953</v>
      </c>
      <c r="CY74">
        <f t="shared" si="94"/>
        <v>871926.67189957702</v>
      </c>
      <c r="DB74" t="b">
        <f t="shared" si="89"/>
        <v>0</v>
      </c>
      <c r="DC74" t="b">
        <f t="shared" si="90"/>
        <v>0</v>
      </c>
      <c r="DD74" t="b">
        <f t="shared" si="91"/>
        <v>0</v>
      </c>
    </row>
    <row r="75" spans="1:108" x14ac:dyDescent="0.25">
      <c r="A75" s="1">
        <v>44601</v>
      </c>
      <c r="B75">
        <v>178.520004</v>
      </c>
      <c r="C75">
        <v>183.14999399999999</v>
      </c>
      <c r="D75">
        <v>154.60000600000001</v>
      </c>
      <c r="E75">
        <v>161.88999899999999</v>
      </c>
      <c r="F75">
        <v>161.88999899999999</v>
      </c>
      <c r="G75">
        <v>24860600</v>
      </c>
      <c r="H75">
        <f xml:space="preserve"> (ENPH[[#This Row],[Close]]-E74)/E74</f>
        <v>0.12034601384083038</v>
      </c>
      <c r="K75" s="1">
        <v>44601</v>
      </c>
      <c r="L75">
        <v>274.96398900000003</v>
      </c>
      <c r="M75">
        <v>278.5</v>
      </c>
      <c r="N75">
        <v>258.20001200000002</v>
      </c>
      <c r="O75">
        <v>265.98001099999999</v>
      </c>
      <c r="P75">
        <v>265.98001099999999</v>
      </c>
      <c r="Q75">
        <v>2173900</v>
      </c>
      <c r="R75">
        <f xml:space="preserve"> (SEDG4[[#This Row],[Close]]-O74)/O74</f>
        <v>6.9438315765074948E-2</v>
      </c>
      <c r="V75">
        <f xml:space="preserve"> X75/(2*ENPH[[#This Row],[Close]])</f>
        <v>2237.3707877677934</v>
      </c>
      <c r="W75">
        <f xml:space="preserve"> X75/(2*SEDG4[[#This Row],[Close]])</f>
        <v>1361.786373466829</v>
      </c>
      <c r="X75">
        <f t="shared" si="49"/>
        <v>724415.90918871458</v>
      </c>
      <c r="Y75">
        <f t="shared" si="72"/>
        <v>9.3405655445139221E-2</v>
      </c>
      <c r="Z75">
        <f xml:space="preserve"> V75*ENPH[[#This Row],[Close]]</f>
        <v>362207.95459435729</v>
      </c>
      <c r="AA75">
        <f xml:space="preserve"> W75*SEDG4[[#This Row],[Close]]</f>
        <v>362207.95459435729</v>
      </c>
      <c r="AB75">
        <f t="shared" si="50"/>
        <v>724415.90918871458</v>
      </c>
      <c r="AC75" t="b">
        <f t="shared" si="51"/>
        <v>1</v>
      </c>
      <c r="AE75">
        <v>71</v>
      </c>
      <c r="AF75">
        <f t="shared" si="52"/>
        <v>373050.66094939143</v>
      </c>
      <c r="AG75">
        <f t="shared" si="53"/>
        <v>491056.48227011733</v>
      </c>
      <c r="AH75">
        <f t="shared" si="54"/>
        <v>532929.51564198779</v>
      </c>
      <c r="AJ75">
        <v>71</v>
      </c>
      <c r="AK75">
        <f t="shared" si="55"/>
        <v>334833.39949039655</v>
      </c>
      <c r="AL75">
        <f t="shared" si="56"/>
        <v>440750.0870842975</v>
      </c>
      <c r="AM75">
        <f t="shared" si="57"/>
        <v>478333.42784342362</v>
      </c>
      <c r="AO75">
        <v>71</v>
      </c>
      <c r="AP75">
        <f t="shared" si="58"/>
        <v>681006.99270102452</v>
      </c>
      <c r="AQ75">
        <f t="shared" si="59"/>
        <v>896427.57202481804</v>
      </c>
      <c r="AR75">
        <f t="shared" si="60"/>
        <v>972867.13243003504</v>
      </c>
      <c r="AT75">
        <f t="shared" si="61"/>
        <v>707884.06043978804</v>
      </c>
      <c r="AU75" t="b">
        <f t="shared" si="62"/>
        <v>0</v>
      </c>
      <c r="AV75">
        <f t="shared" si="63"/>
        <v>931806.56935441482</v>
      </c>
      <c r="AW75" t="b">
        <f t="shared" si="64"/>
        <v>0</v>
      </c>
      <c r="AX75">
        <f t="shared" si="65"/>
        <v>1011262.9434854113</v>
      </c>
      <c r="AY75" t="b">
        <f t="shared" si="66"/>
        <v>0</v>
      </c>
      <c r="BA75">
        <v>71</v>
      </c>
      <c r="BB75">
        <f t="shared" si="67"/>
        <v>-5.5359937579797531E-4</v>
      </c>
      <c r="BC75">
        <f t="shared" si="68"/>
        <v>-6.8784969521815082E-5</v>
      </c>
      <c r="BD75">
        <f t="shared" si="69"/>
        <v>-3.0265940118452298E-4</v>
      </c>
      <c r="BG75">
        <v>70</v>
      </c>
      <c r="BH75">
        <f t="shared" si="73"/>
        <v>60805.373297375634</v>
      </c>
      <c r="BI75">
        <f t="shared" si="74"/>
        <v>80039.726075116909</v>
      </c>
      <c r="BJ75">
        <f t="shared" si="75"/>
        <v>86864.818996250906</v>
      </c>
      <c r="BL75">
        <v>70</v>
      </c>
      <c r="BM75">
        <f t="shared" si="76"/>
        <v>42606.561289951409</v>
      </c>
      <c r="BN75">
        <f t="shared" si="77"/>
        <v>56084.14700411971</v>
      </c>
      <c r="BO75">
        <f t="shared" si="78"/>
        <v>60866.516128502008</v>
      </c>
      <c r="BQ75">
        <v>70</v>
      </c>
      <c r="BR75">
        <f t="shared" si="79"/>
        <v>96235.870676875813</v>
      </c>
      <c r="BS75">
        <f t="shared" si="80"/>
        <v>126677.82976854063</v>
      </c>
      <c r="BT75">
        <f t="shared" si="81"/>
        <v>137479.81525267975</v>
      </c>
      <c r="BV75" t="b">
        <f t="shared" si="82"/>
        <v>0</v>
      </c>
      <c r="BW75" t="b">
        <f t="shared" si="83"/>
        <v>0</v>
      </c>
      <c r="BX75" t="b">
        <f t="shared" si="84"/>
        <v>0</v>
      </c>
      <c r="CB75">
        <v>0.12034601384083038</v>
      </c>
      <c r="CC75">
        <v>70</v>
      </c>
      <c r="CD75">
        <v>8.1735769330710227E-4</v>
      </c>
      <c r="CG75">
        <v>6.9438315765074948E-2</v>
      </c>
      <c r="CH75">
        <v>2.0521335504885435E-3</v>
      </c>
      <c r="CK75">
        <v>9.3405655445139221E-2</v>
      </c>
      <c r="CL75">
        <v>1.4771004862815169E-3</v>
      </c>
      <c r="CP75">
        <v>70</v>
      </c>
      <c r="CQ75">
        <f t="shared" si="85"/>
        <v>270425.78053323383</v>
      </c>
      <c r="CR75">
        <f t="shared" si="86"/>
        <v>464838.47574241471</v>
      </c>
      <c r="CS75">
        <f t="shared" si="87"/>
        <v>502399.77798166464</v>
      </c>
      <c r="CT75">
        <f t="shared" si="88"/>
        <v>247279.68349406114</v>
      </c>
      <c r="CU75">
        <f t="shared" si="70"/>
        <v>396148.8333624092</v>
      </c>
      <c r="CV75">
        <f t="shared" si="71"/>
        <v>420875.03278284264</v>
      </c>
      <c r="CW75">
        <f t="shared" si="92"/>
        <v>478697.45930533885</v>
      </c>
      <c r="CX75">
        <f t="shared" si="93"/>
        <v>812684.14974639507</v>
      </c>
      <c r="CY75">
        <f t="shared" si="94"/>
        <v>878222.25309115718</v>
      </c>
      <c r="DB75" t="b">
        <f t="shared" si="89"/>
        <v>0</v>
      </c>
      <c r="DC75" t="b">
        <f t="shared" si="90"/>
        <v>0</v>
      </c>
      <c r="DD75" t="b">
        <f t="shared" si="91"/>
        <v>0</v>
      </c>
    </row>
    <row r="76" spans="1:108" x14ac:dyDescent="0.25">
      <c r="A76" s="1">
        <v>44602</v>
      </c>
      <c r="B76">
        <v>156.19000199999999</v>
      </c>
      <c r="C76">
        <v>166.71000699999999</v>
      </c>
      <c r="D76">
        <v>153.270004</v>
      </c>
      <c r="E76">
        <v>154.63999899999999</v>
      </c>
      <c r="F76">
        <v>154.63999899999999</v>
      </c>
      <c r="G76">
        <v>5356100</v>
      </c>
      <c r="H76">
        <f xml:space="preserve"> (ENPH[[#This Row],[Close]]-E75)/E75</f>
        <v>-4.4783495242346628E-2</v>
      </c>
      <c r="K76" s="1">
        <v>44602</v>
      </c>
      <c r="L76">
        <v>260</v>
      </c>
      <c r="M76">
        <v>275.97000100000002</v>
      </c>
      <c r="N76">
        <v>259.50500499999998</v>
      </c>
      <c r="O76">
        <v>264.5</v>
      </c>
      <c r="P76">
        <v>264.5</v>
      </c>
      <c r="Q76">
        <v>1174600</v>
      </c>
      <c r="R76">
        <f xml:space="preserve"> (SEDG4[[#This Row],[Close]]-O75)/O75</f>
        <v>-5.5643692713434412E-3</v>
      </c>
      <c r="V76">
        <f xml:space="preserve"> X76/(2*ENPH[[#This Row],[Close]])</f>
        <v>2284.9183646927104</v>
      </c>
      <c r="W76">
        <f xml:space="preserve"> X76/(2*SEDG4[[#This Row],[Close]])</f>
        <v>1335.8781611764173</v>
      </c>
      <c r="X76">
        <f t="shared" si="49"/>
        <v>706679.54726232472</v>
      </c>
      <c r="Y76">
        <f t="shared" si="72"/>
        <v>-2.4483672571814587E-2</v>
      </c>
      <c r="Z76">
        <f xml:space="preserve"> V76*ENPH[[#This Row],[Close]]</f>
        <v>353339.77363116236</v>
      </c>
      <c r="AA76">
        <f xml:space="preserve"> W76*SEDG4[[#This Row],[Close]]</f>
        <v>353339.77363116236</v>
      </c>
      <c r="AB76">
        <f t="shared" si="50"/>
        <v>706679.54726232472</v>
      </c>
      <c r="AC76" t="b">
        <f t="shared" si="51"/>
        <v>1</v>
      </c>
      <c r="AE76">
        <v>72</v>
      </c>
      <c r="AF76">
        <f t="shared" si="52"/>
        <v>375668.59244278545</v>
      </c>
      <c r="AG76">
        <f t="shared" si="53"/>
        <v>494502.53495019721</v>
      </c>
      <c r="AH76">
        <f t="shared" si="54"/>
        <v>536669.41777540778</v>
      </c>
      <c r="AJ76">
        <v>72</v>
      </c>
      <c r="AK76">
        <f t="shared" si="55"/>
        <v>337183.13638493861</v>
      </c>
      <c r="AL76">
        <f t="shared" si="56"/>
        <v>443843.10809854168</v>
      </c>
      <c r="AM76">
        <f t="shared" si="57"/>
        <v>481690.19483562658</v>
      </c>
      <c r="AO76">
        <v>72</v>
      </c>
      <c r="AP76">
        <f t="shared" si="58"/>
        <v>685786.04777326703</v>
      </c>
      <c r="AQ76">
        <f t="shared" si="59"/>
        <v>902718.36900766788</v>
      </c>
      <c r="AR76">
        <f t="shared" si="60"/>
        <v>979694.35396181</v>
      </c>
      <c r="AT76">
        <f t="shared" si="61"/>
        <v>712851.728827724</v>
      </c>
      <c r="AU76" t="b">
        <f t="shared" si="62"/>
        <v>0</v>
      </c>
      <c r="AV76">
        <f t="shared" si="63"/>
        <v>938345.64304873883</v>
      </c>
      <c r="AW76" t="b">
        <f t="shared" si="64"/>
        <v>0</v>
      </c>
      <c r="AX76">
        <f t="shared" si="65"/>
        <v>1018359.6126110344</v>
      </c>
      <c r="AY76" t="b">
        <f t="shared" si="66"/>
        <v>0</v>
      </c>
      <c r="BA76">
        <v>72</v>
      </c>
      <c r="BB76">
        <f t="shared" si="67"/>
        <v>-6.7252202301649469E-4</v>
      </c>
      <c r="BC76">
        <f t="shared" si="68"/>
        <v>-6.3305855800362598E-4</v>
      </c>
      <c r="BD76">
        <f t="shared" si="69"/>
        <v>-6.5169957999647885E-4</v>
      </c>
      <c r="BG76">
        <v>71</v>
      </c>
      <c r="BH76">
        <f t="shared" si="73"/>
        <v>61238.157216624037</v>
      </c>
      <c r="BI76">
        <f t="shared" si="74"/>
        <v>80609.411030045929</v>
      </c>
      <c r="BJ76">
        <f t="shared" si="75"/>
        <v>87483.081738034336</v>
      </c>
      <c r="BL76">
        <v>71</v>
      </c>
      <c r="BM76">
        <f t="shared" si="76"/>
        <v>42909.814663474535</v>
      </c>
      <c r="BN76">
        <f t="shared" si="77"/>
        <v>56483.327465185874</v>
      </c>
      <c r="BO76">
        <f t="shared" si="78"/>
        <v>61299.735233535052</v>
      </c>
      <c r="BQ76">
        <v>71</v>
      </c>
      <c r="BR76">
        <f t="shared" si="79"/>
        <v>96920.832137109435</v>
      </c>
      <c r="BS76">
        <f t="shared" si="80"/>
        <v>127579.46271109303</v>
      </c>
      <c r="BT76">
        <f t="shared" si="81"/>
        <v>138458.33162444204</v>
      </c>
      <c r="BV76" t="b">
        <f t="shared" si="82"/>
        <v>0</v>
      </c>
      <c r="BW76" t="b">
        <f t="shared" si="83"/>
        <v>0</v>
      </c>
      <c r="BX76" t="b">
        <f t="shared" si="84"/>
        <v>0</v>
      </c>
      <c r="CB76">
        <v>-4.4783495242346628E-2</v>
      </c>
      <c r="CC76">
        <v>71</v>
      </c>
      <c r="CD76">
        <v>1.7460423280423675E-3</v>
      </c>
      <c r="CG76">
        <v>-5.5643692713434412E-3</v>
      </c>
      <c r="CH76">
        <v>2.6989968840839735E-3</v>
      </c>
      <c r="CK76">
        <v>-2.4483672571814587E-2</v>
      </c>
      <c r="CL76">
        <v>1.6704630659191944E-3</v>
      </c>
      <c r="CP76">
        <v>71</v>
      </c>
      <c r="CQ76">
        <f t="shared" si="85"/>
        <v>272350.54347470286</v>
      </c>
      <c r="CR76">
        <f t="shared" si="86"/>
        <v>468146.97639687802</v>
      </c>
      <c r="CS76">
        <f t="shared" si="87"/>
        <v>505975.62223939266</v>
      </c>
      <c r="CT76">
        <f t="shared" si="88"/>
        <v>249039.70345232496</v>
      </c>
      <c r="CU76">
        <f t="shared" si="70"/>
        <v>398968.4335952666</v>
      </c>
      <c r="CV76">
        <f t="shared" si="71"/>
        <v>423870.62242112576</v>
      </c>
      <c r="CW76">
        <f t="shared" si="92"/>
        <v>482104.60165703879</v>
      </c>
      <c r="CX76">
        <f t="shared" si="93"/>
        <v>818468.45156653505</v>
      </c>
      <c r="CY76">
        <f t="shared" si="94"/>
        <v>884473.02416701452</v>
      </c>
      <c r="DB76" t="b">
        <f t="shared" si="89"/>
        <v>0</v>
      </c>
      <c r="DC76" t="b">
        <f t="shared" si="90"/>
        <v>0</v>
      </c>
      <c r="DD76" t="b">
        <f t="shared" si="91"/>
        <v>0</v>
      </c>
    </row>
    <row r="77" spans="1:108" x14ac:dyDescent="0.25">
      <c r="A77" s="1">
        <v>44603</v>
      </c>
      <c r="B77">
        <v>154.070007</v>
      </c>
      <c r="C77">
        <v>156.83999600000001</v>
      </c>
      <c r="D77">
        <v>143.779999</v>
      </c>
      <c r="E77">
        <v>145.69000199999999</v>
      </c>
      <c r="F77">
        <v>145.69000199999999</v>
      </c>
      <c r="G77">
        <v>3384300</v>
      </c>
      <c r="H77">
        <f xml:space="preserve"> (ENPH[[#This Row],[Close]]-E76)/E76</f>
        <v>-5.7876338967125816E-2</v>
      </c>
      <c r="K77" s="1">
        <v>44603</v>
      </c>
      <c r="L77">
        <v>261.44000199999999</v>
      </c>
      <c r="M77">
        <v>264.82000699999998</v>
      </c>
      <c r="N77">
        <v>247.13000500000001</v>
      </c>
      <c r="O77">
        <v>250.08999600000001</v>
      </c>
      <c r="P77">
        <v>250.08999600000001</v>
      </c>
      <c r="Q77">
        <v>880700</v>
      </c>
      <c r="R77">
        <f xml:space="preserve"> (SEDG4[[#This Row],[Close]]-O76)/O76</f>
        <v>-5.4480166351606754E-2</v>
      </c>
      <c r="V77">
        <f xml:space="preserve"> X77/(2*ENPH[[#This Row],[Close]])</f>
        <v>2289.2643574713316</v>
      </c>
      <c r="W77">
        <f xml:space="preserve"> X77/(2*SEDG4[[#This Row],[Close]])</f>
        <v>1333.6116364227819</v>
      </c>
      <c r="X77">
        <f t="shared" si="49"/>
        <v>667045.85763705394</v>
      </c>
      <c r="Y77">
        <f t="shared" si="72"/>
        <v>-5.6084387582478683E-2</v>
      </c>
      <c r="Z77">
        <f xml:space="preserve"> V77*ENPH[[#This Row],[Close]]</f>
        <v>333522.92881852697</v>
      </c>
      <c r="AA77">
        <f xml:space="preserve"> W77*SEDG4[[#This Row],[Close]]</f>
        <v>333522.92881852697</v>
      </c>
      <c r="AB77">
        <f t="shared" si="50"/>
        <v>667045.85763705394</v>
      </c>
      <c r="AC77" t="b">
        <f t="shared" si="51"/>
        <v>1</v>
      </c>
      <c r="AE77">
        <v>73</v>
      </c>
      <c r="AF77">
        <f t="shared" si="52"/>
        <v>378268.40611014498</v>
      </c>
      <c r="AG77">
        <f t="shared" si="53"/>
        <v>497924.73865519086</v>
      </c>
      <c r="AH77">
        <f t="shared" si="54"/>
        <v>540383.43730020709</v>
      </c>
      <c r="AJ77">
        <v>73</v>
      </c>
      <c r="AK77">
        <f t="shared" si="55"/>
        <v>339516.61153833516</v>
      </c>
      <c r="AL77">
        <f t="shared" si="56"/>
        <v>446914.72335148201</v>
      </c>
      <c r="AM77">
        <f t="shared" si="57"/>
        <v>485023.73076905019</v>
      </c>
      <c r="AO77">
        <v>73</v>
      </c>
      <c r="AP77">
        <f t="shared" si="58"/>
        <v>690532.0286078424</v>
      </c>
      <c r="AQ77">
        <f t="shared" si="59"/>
        <v>908965.62949399662</v>
      </c>
      <c r="AR77">
        <f t="shared" si="60"/>
        <v>986474.32658263191</v>
      </c>
      <c r="AT77">
        <f t="shared" si="61"/>
        <v>717785.01764848013</v>
      </c>
      <c r="AU77" t="b">
        <f t="shared" si="62"/>
        <v>0</v>
      </c>
      <c r="AV77">
        <f t="shared" si="63"/>
        <v>944839.46200667287</v>
      </c>
      <c r="AW77" t="b">
        <f t="shared" si="64"/>
        <v>0</v>
      </c>
      <c r="AX77">
        <f t="shared" si="65"/>
        <v>1025407.1680692573</v>
      </c>
      <c r="AY77" t="b">
        <f t="shared" si="66"/>
        <v>0</v>
      </c>
      <c r="BA77">
        <v>73</v>
      </c>
      <c r="BB77">
        <f t="shared" si="67"/>
        <v>-1.319527519613004E-4</v>
      </c>
      <c r="BC77">
        <f t="shared" si="68"/>
        <v>-3.7997388549522034E-5</v>
      </c>
      <c r="BD77">
        <f t="shared" si="69"/>
        <v>-8.2294032319325922E-5</v>
      </c>
      <c r="BG77">
        <v>72</v>
      </c>
      <c r="BH77">
        <f t="shared" si="73"/>
        <v>61667.903943159297</v>
      </c>
      <c r="BI77">
        <f t="shared" si="74"/>
        <v>81175.098047628053</v>
      </c>
      <c r="BJ77">
        <f t="shared" si="75"/>
        <v>88097.0056330847</v>
      </c>
      <c r="BL77">
        <v>72</v>
      </c>
      <c r="BM77">
        <f t="shared" si="76"/>
        <v>43210.939864264488</v>
      </c>
      <c r="BN77">
        <f t="shared" si="77"/>
        <v>56879.706556021622</v>
      </c>
      <c r="BO77">
        <f t="shared" si="78"/>
        <v>61729.914091806408</v>
      </c>
      <c r="BQ77">
        <v>72</v>
      </c>
      <c r="BR77">
        <f t="shared" si="79"/>
        <v>97600.986672077852</v>
      </c>
      <c r="BS77">
        <f t="shared" si="80"/>
        <v>128474.76817038821</v>
      </c>
      <c r="BT77">
        <f t="shared" si="81"/>
        <v>139429.98096011122</v>
      </c>
      <c r="BV77" t="b">
        <f t="shared" si="82"/>
        <v>0</v>
      </c>
      <c r="BW77" t="b">
        <f t="shared" si="83"/>
        <v>0</v>
      </c>
      <c r="BX77" t="b">
        <f t="shared" si="84"/>
        <v>0</v>
      </c>
      <c r="CB77">
        <v>-5.7876338967125816E-2</v>
      </c>
      <c r="CC77">
        <v>72</v>
      </c>
      <c r="CD77">
        <v>2.7634798614389108E-3</v>
      </c>
      <c r="CG77">
        <v>-5.4480166351606754E-2</v>
      </c>
      <c r="CH77">
        <v>3.5439297549688239E-3</v>
      </c>
      <c r="CK77">
        <v>-5.6084387582478683E-2</v>
      </c>
      <c r="CL77">
        <v>2.270346824738775E-3</v>
      </c>
      <c r="CP77">
        <v>72</v>
      </c>
      <c r="CQ77">
        <f t="shared" si="85"/>
        <v>274261.79880713113</v>
      </c>
      <c r="CR77">
        <f t="shared" si="86"/>
        <v>471432.25864226412</v>
      </c>
      <c r="CS77">
        <f t="shared" si="87"/>
        <v>509526.37192303909</v>
      </c>
      <c r="CT77">
        <f t="shared" si="88"/>
        <v>250787.37193551203</v>
      </c>
      <c r="CU77">
        <f t="shared" si="70"/>
        <v>401768.24642637384</v>
      </c>
      <c r="CV77">
        <f t="shared" si="71"/>
        <v>426845.18959850795</v>
      </c>
      <c r="CW77">
        <f t="shared" si="92"/>
        <v>485487.83335156558</v>
      </c>
      <c r="CX77">
        <f t="shared" si="93"/>
        <v>824212.16029031121</v>
      </c>
      <c r="CY77">
        <f t="shared" si="94"/>
        <v>890679.92855670664</v>
      </c>
      <c r="DB77" t="b">
        <f t="shared" si="89"/>
        <v>0</v>
      </c>
      <c r="DC77" t="b">
        <f t="shared" si="90"/>
        <v>0</v>
      </c>
      <c r="DD77" t="b">
        <f t="shared" si="91"/>
        <v>0</v>
      </c>
    </row>
    <row r="78" spans="1:108" x14ac:dyDescent="0.25">
      <c r="A78" s="1">
        <v>44606</v>
      </c>
      <c r="B78">
        <v>145.83000200000001</v>
      </c>
      <c r="C78">
        <v>149.979996</v>
      </c>
      <c r="D78">
        <v>142.38000500000001</v>
      </c>
      <c r="E78">
        <v>143.929993</v>
      </c>
      <c r="F78">
        <v>143.929993</v>
      </c>
      <c r="G78">
        <v>2439200</v>
      </c>
      <c r="H78">
        <f xml:space="preserve"> (ENPH[[#This Row],[Close]]-E77)/E77</f>
        <v>-1.2080506389175537E-2</v>
      </c>
      <c r="K78" s="1">
        <v>44606</v>
      </c>
      <c r="L78">
        <v>247.86000100000001</v>
      </c>
      <c r="M78">
        <v>254.13000500000001</v>
      </c>
      <c r="N78">
        <v>243.28100599999999</v>
      </c>
      <c r="O78">
        <v>249.220001</v>
      </c>
      <c r="P78">
        <v>249.220001</v>
      </c>
      <c r="Q78">
        <v>815700</v>
      </c>
      <c r="R78">
        <f xml:space="preserve"> (SEDG4[[#This Row],[Close]]-O77)/O77</f>
        <v>-3.4787277136827861E-3</v>
      </c>
      <c r="V78">
        <f xml:space="preserve"> X78/(2*ENPH[[#This Row],[Close]])</f>
        <v>2299.7994073639497</v>
      </c>
      <c r="W78">
        <f xml:space="preserve"> X78/(2*SEDG4[[#This Row],[Close]])</f>
        <v>1328.1843803671979</v>
      </c>
      <c r="X78">
        <f t="shared" si="49"/>
        <v>662020.22520659491</v>
      </c>
      <c r="Y78">
        <f t="shared" si="72"/>
        <v>-7.5341633156404643E-3</v>
      </c>
      <c r="Z78">
        <f xml:space="preserve"> V78*ENPH[[#This Row],[Close]]</f>
        <v>331010.1126032974</v>
      </c>
      <c r="AA78">
        <f xml:space="preserve"> W78*SEDG4[[#This Row],[Close]]</f>
        <v>331010.11260329746</v>
      </c>
      <c r="AB78">
        <f t="shared" si="50"/>
        <v>662020.22520659491</v>
      </c>
      <c r="AC78" t="b">
        <f t="shared" si="51"/>
        <v>1</v>
      </c>
      <c r="AE78">
        <v>74</v>
      </c>
      <c r="AF78">
        <f t="shared" si="52"/>
        <v>380850.4729868081</v>
      </c>
      <c r="AG78">
        <f t="shared" si="53"/>
        <v>501323.58178875764</v>
      </c>
      <c r="AH78">
        <f t="shared" si="54"/>
        <v>544072.10426686867</v>
      </c>
      <c r="AJ78">
        <v>74</v>
      </c>
      <c r="AK78">
        <f t="shared" si="55"/>
        <v>341834.15797512315</v>
      </c>
      <c r="AL78">
        <f t="shared" si="56"/>
        <v>449965.37121215195</v>
      </c>
      <c r="AM78">
        <f t="shared" si="57"/>
        <v>488334.51139303308</v>
      </c>
      <c r="AO78">
        <v>74</v>
      </c>
      <c r="AP78">
        <f t="shared" si="58"/>
        <v>695245.61253275559</v>
      </c>
      <c r="AQ78">
        <f t="shared" si="59"/>
        <v>915170.24506862729</v>
      </c>
      <c r="AR78">
        <f t="shared" si="60"/>
        <v>993208.01790393644</v>
      </c>
      <c r="AT78">
        <f t="shared" si="61"/>
        <v>722684.63096193131</v>
      </c>
      <c r="AU78" t="b">
        <f t="shared" si="62"/>
        <v>0</v>
      </c>
      <c r="AV78">
        <f t="shared" si="63"/>
        <v>951288.95300090965</v>
      </c>
      <c r="AW78" t="b">
        <f t="shared" si="64"/>
        <v>0</v>
      </c>
      <c r="AX78">
        <f t="shared" si="65"/>
        <v>1032406.6156599018</v>
      </c>
      <c r="AY78" t="b">
        <f t="shared" si="66"/>
        <v>0</v>
      </c>
      <c r="BA78">
        <v>74</v>
      </c>
      <c r="BB78">
        <f t="shared" si="67"/>
        <v>7.3904284629611259E-4</v>
      </c>
      <c r="BC78">
        <f t="shared" si="68"/>
        <v>5.3310487009429919E-4</v>
      </c>
      <c r="BD78">
        <f t="shared" si="69"/>
        <v>6.2975260384709811E-4</v>
      </c>
      <c r="BG78">
        <v>73</v>
      </c>
      <c r="BH78">
        <f t="shared" si="73"/>
        <v>62094.676536700645</v>
      </c>
      <c r="BI78">
        <f t="shared" si="74"/>
        <v>81736.870135044723</v>
      </c>
      <c r="BJ78">
        <f t="shared" si="75"/>
        <v>88706.680766715202</v>
      </c>
      <c r="BL78">
        <v>73</v>
      </c>
      <c r="BM78">
        <f t="shared" si="76"/>
        <v>43509.981078511519</v>
      </c>
      <c r="BN78">
        <f t="shared" si="77"/>
        <v>57273.342440081491</v>
      </c>
      <c r="BO78">
        <f t="shared" si="78"/>
        <v>62157.115826445028</v>
      </c>
      <c r="BQ78">
        <v>73</v>
      </c>
      <c r="BR78">
        <f t="shared" si="79"/>
        <v>98276.434085575645</v>
      </c>
      <c r="BS78">
        <f t="shared" si="80"/>
        <v>129363.87752080876</v>
      </c>
      <c r="BT78">
        <f t="shared" si="81"/>
        <v>140394.90583653664</v>
      </c>
      <c r="BV78" t="b">
        <f t="shared" si="82"/>
        <v>0</v>
      </c>
      <c r="BW78" t="b">
        <f t="shared" si="83"/>
        <v>0</v>
      </c>
      <c r="BX78" t="b">
        <f t="shared" si="84"/>
        <v>0</v>
      </c>
      <c r="CB78">
        <v>-1.2080506389175537E-2</v>
      </c>
      <c r="CC78">
        <v>73</v>
      </c>
      <c r="CD78">
        <v>4.1732786913669748E-3</v>
      </c>
      <c r="CG78">
        <v>-3.4787277136827861E-3</v>
      </c>
      <c r="CH78">
        <v>4.7329033921039345E-3</v>
      </c>
      <c r="CK78">
        <v>-7.5341633156404643E-3</v>
      </c>
      <c r="CL78">
        <v>3.009906074588758E-3</v>
      </c>
      <c r="CP78">
        <v>73</v>
      </c>
      <c r="CQ78">
        <f t="shared" si="85"/>
        <v>276159.82698227587</v>
      </c>
      <c r="CR78">
        <f t="shared" si="86"/>
        <v>474694.80455083371</v>
      </c>
      <c r="CS78">
        <f t="shared" si="87"/>
        <v>513052.548058744</v>
      </c>
      <c r="CT78">
        <f t="shared" si="88"/>
        <v>252522.94539114606</v>
      </c>
      <c r="CU78">
        <f t="shared" si="70"/>
        <v>404548.68269169569</v>
      </c>
      <c r="CV78">
        <f t="shared" si="71"/>
        <v>429799.17079387192</v>
      </c>
      <c r="CW78">
        <f t="shared" si="92"/>
        <v>488847.65083398228</v>
      </c>
      <c r="CX78">
        <f t="shared" si="93"/>
        <v>829916.11873196065</v>
      </c>
      <c r="CY78">
        <f t="shared" si="94"/>
        <v>896843.87704238459</v>
      </c>
      <c r="DB78" t="b">
        <f t="shared" si="89"/>
        <v>0</v>
      </c>
      <c r="DC78" t="b">
        <f t="shared" si="90"/>
        <v>0</v>
      </c>
      <c r="DD78" t="b">
        <f t="shared" si="91"/>
        <v>0</v>
      </c>
    </row>
    <row r="79" spans="1:108" x14ac:dyDescent="0.25">
      <c r="A79" s="1">
        <v>44607</v>
      </c>
      <c r="B79">
        <v>147.61000100000001</v>
      </c>
      <c r="C79">
        <v>154.88999899999999</v>
      </c>
      <c r="D79">
        <v>147.570007</v>
      </c>
      <c r="E79">
        <v>154.28999300000001</v>
      </c>
      <c r="F79">
        <v>154.28999300000001</v>
      </c>
      <c r="G79">
        <v>3053200</v>
      </c>
      <c r="H79">
        <f xml:space="preserve"> (ENPH[[#This Row],[Close]]-E78)/E78</f>
        <v>7.1979437948003058E-2</v>
      </c>
      <c r="K79" s="1">
        <v>44607</v>
      </c>
      <c r="L79">
        <v>258.35000600000001</v>
      </c>
      <c r="M79">
        <v>262.98998999999998</v>
      </c>
      <c r="N79">
        <v>255.30999800000001</v>
      </c>
      <c r="O79">
        <v>262.16000400000001</v>
      </c>
      <c r="P79">
        <v>262.16000400000001</v>
      </c>
      <c r="Q79">
        <v>963500</v>
      </c>
      <c r="R79">
        <f xml:space="preserve"> (SEDG4[[#This Row],[Close]]-O78)/O78</f>
        <v>5.1922008458703192E-2</v>
      </c>
      <c r="V79">
        <f xml:space="preserve"> X79/(2*ENPH[[#This Row],[Close]])</f>
        <v>2276.9632132654078</v>
      </c>
      <c r="W79">
        <f xml:space="preserve"> X79/(2*SEDG4[[#This Row],[Close]])</f>
        <v>1340.0695486561606</v>
      </c>
      <c r="X79">
        <f t="shared" si="49"/>
        <v>702625.27647195454</v>
      </c>
      <c r="Y79">
        <f t="shared" si="72"/>
        <v>6.1335061557504698E-2</v>
      </c>
      <c r="Z79">
        <f xml:space="preserve"> V79*ENPH[[#This Row],[Close]]</f>
        <v>351312.63823597733</v>
      </c>
      <c r="AA79">
        <f xml:space="preserve"> W79*SEDG4[[#This Row],[Close]]</f>
        <v>351312.63823597727</v>
      </c>
      <c r="AB79">
        <f t="shared" si="50"/>
        <v>702625.27647195454</v>
      </c>
      <c r="AC79" t="b">
        <f t="shared" si="51"/>
        <v>1</v>
      </c>
      <c r="AE79">
        <v>75</v>
      </c>
      <c r="AF79">
        <f t="shared" si="52"/>
        <v>383415.15161433222</v>
      </c>
      <c r="AG79">
        <f t="shared" si="53"/>
        <v>504699.53630866186</v>
      </c>
      <c r="AH79">
        <f t="shared" si="54"/>
        <v>547735.93087761744</v>
      </c>
      <c r="AJ79">
        <v>75</v>
      </c>
      <c r="AK79">
        <f t="shared" si="55"/>
        <v>344136.09750598698</v>
      </c>
      <c r="AL79">
        <f t="shared" si="56"/>
        <v>452995.47528849303</v>
      </c>
      <c r="AM79">
        <f t="shared" si="57"/>
        <v>491622.99643712421</v>
      </c>
      <c r="AO79">
        <v>75</v>
      </c>
      <c r="AP79">
        <f t="shared" si="58"/>
        <v>699927.45406851347</v>
      </c>
      <c r="AQ79">
        <f t="shared" si="59"/>
        <v>921333.07729426783</v>
      </c>
      <c r="AR79">
        <f t="shared" si="60"/>
        <v>999896.36295501923</v>
      </c>
      <c r="AT79">
        <f t="shared" si="61"/>
        <v>727551.24912031926</v>
      </c>
      <c r="AU79" t="b">
        <f t="shared" si="62"/>
        <v>0</v>
      </c>
      <c r="AV79">
        <f t="shared" si="63"/>
        <v>957695.01159715489</v>
      </c>
      <c r="AW79" t="b">
        <f t="shared" si="64"/>
        <v>0</v>
      </c>
      <c r="AX79">
        <f t="shared" si="65"/>
        <v>1039358.9273147417</v>
      </c>
      <c r="AY79" t="b">
        <f t="shared" si="66"/>
        <v>0</v>
      </c>
      <c r="BA79">
        <v>75</v>
      </c>
      <c r="BB79">
        <f t="shared" si="67"/>
        <v>-1.6263521431358086E-5</v>
      </c>
      <c r="BC79">
        <f t="shared" si="68"/>
        <v>1.678754314808095E-4</v>
      </c>
      <c r="BD79">
        <f t="shared" si="69"/>
        <v>8.0591389967396104E-5</v>
      </c>
      <c r="BG79">
        <v>74</v>
      </c>
      <c r="BH79">
        <f t="shared" si="73"/>
        <v>62518.535904579869</v>
      </c>
      <c r="BI79">
        <f t="shared" si="74"/>
        <v>82294.807466232684</v>
      </c>
      <c r="BJ79">
        <f t="shared" si="75"/>
        <v>89312.194149399802</v>
      </c>
      <c r="BL79">
        <v>74</v>
      </c>
      <c r="BM79">
        <f t="shared" si="76"/>
        <v>43806.980984219619</v>
      </c>
      <c r="BN79">
        <f t="shared" si="77"/>
        <v>57664.291295554402</v>
      </c>
      <c r="BO79">
        <f t="shared" si="78"/>
        <v>62581.401406028024</v>
      </c>
      <c r="BQ79">
        <v>74</v>
      </c>
      <c r="BR79">
        <f t="shared" si="79"/>
        <v>98947.270774841862</v>
      </c>
      <c r="BS79">
        <f t="shared" si="80"/>
        <v>130246.91765259797</v>
      </c>
      <c r="BT79">
        <f t="shared" si="81"/>
        <v>141353.2439640598</v>
      </c>
      <c r="BV79" t="b">
        <f t="shared" si="82"/>
        <v>0</v>
      </c>
      <c r="BW79" t="b">
        <f t="shared" si="83"/>
        <v>0</v>
      </c>
      <c r="BX79" t="b">
        <f t="shared" si="84"/>
        <v>0</v>
      </c>
      <c r="CB79">
        <v>7.1979437948003058E-2</v>
      </c>
      <c r="CC79">
        <v>74</v>
      </c>
      <c r="CD79">
        <v>4.5111181182658057E-3</v>
      </c>
      <c r="CG79">
        <v>5.1922008458703192E-2</v>
      </c>
      <c r="CH79">
        <v>5.3548359561652725E-3</v>
      </c>
      <c r="CK79">
        <v>6.1335061557504698E-2</v>
      </c>
      <c r="CL79">
        <v>3.6403140346339827E-3</v>
      </c>
      <c r="CP79">
        <v>74</v>
      </c>
      <c r="CQ79">
        <f t="shared" si="85"/>
        <v>278044.89887936768</v>
      </c>
      <c r="CR79">
        <f t="shared" si="86"/>
        <v>477935.07974050392</v>
      </c>
      <c r="CS79">
        <f t="shared" si="87"/>
        <v>516554.65388870955</v>
      </c>
      <c r="CT79">
        <f t="shared" si="88"/>
        <v>254246.67151354931</v>
      </c>
      <c r="CU79">
        <f t="shared" si="70"/>
        <v>407310.13920432806</v>
      </c>
      <c r="CV79">
        <f t="shared" si="71"/>
        <v>432732.98758797394</v>
      </c>
      <c r="CW79">
        <f t="shared" si="92"/>
        <v>492184.53360442829</v>
      </c>
      <c r="CX79">
        <f t="shared" si="93"/>
        <v>835581.14093834255</v>
      </c>
      <c r="CY79">
        <f t="shared" si="94"/>
        <v>902965.74931890506</v>
      </c>
      <c r="DB79" t="b">
        <f t="shared" si="89"/>
        <v>0</v>
      </c>
      <c r="DC79" t="b">
        <f t="shared" si="90"/>
        <v>0</v>
      </c>
      <c r="DD79" t="b">
        <f t="shared" si="91"/>
        <v>0</v>
      </c>
    </row>
    <row r="80" spans="1:108" x14ac:dyDescent="0.25">
      <c r="A80" s="1">
        <v>44608</v>
      </c>
      <c r="B80">
        <v>149.60000600000001</v>
      </c>
      <c r="C80">
        <v>154.83999600000001</v>
      </c>
      <c r="D80">
        <v>146.800003</v>
      </c>
      <c r="E80">
        <v>154.029999</v>
      </c>
      <c r="F80">
        <v>154.029999</v>
      </c>
      <c r="G80">
        <v>1972500</v>
      </c>
      <c r="H80">
        <f xml:space="preserve"> (ENPH[[#This Row],[Close]]-E79)/E79</f>
        <v>-1.6850995644286926E-3</v>
      </c>
      <c r="K80" s="1">
        <v>44608</v>
      </c>
      <c r="L80">
        <v>256</v>
      </c>
      <c r="M80">
        <v>267.29998799999998</v>
      </c>
      <c r="N80">
        <v>248.14999399999999</v>
      </c>
      <c r="O80">
        <v>266.72000100000002</v>
      </c>
      <c r="P80">
        <v>266.72000100000002</v>
      </c>
      <c r="Q80">
        <v>1273300</v>
      </c>
      <c r="R80">
        <f xml:space="preserve"> (SEDG4[[#This Row],[Close]]-O79)/O79</f>
        <v>1.7393946179524812E-2</v>
      </c>
      <c r="V80">
        <f xml:space="preserve"> X80/(2*ENPH[[#This Row],[Close]])</f>
        <v>2299.8519112729123</v>
      </c>
      <c r="W80">
        <f xml:space="preserve"> X80/(2*SEDG4[[#This Row],[Close]])</f>
        <v>1328.1575669816932</v>
      </c>
      <c r="X80">
        <f t="shared" si="49"/>
        <v>708492.3751870296</v>
      </c>
      <c r="Y80">
        <f t="shared" si="72"/>
        <v>8.3502528467736467E-3</v>
      </c>
      <c r="Z80">
        <f xml:space="preserve"> V80*ENPH[[#This Row],[Close]]</f>
        <v>354246.1875935148</v>
      </c>
      <c r="AA80">
        <f xml:space="preserve"> W80*SEDG4[[#This Row],[Close]]</f>
        <v>354246.1875935148</v>
      </c>
      <c r="AB80">
        <f t="shared" si="50"/>
        <v>708492.3751870296</v>
      </c>
      <c r="AC80" t="b">
        <f t="shared" si="51"/>
        <v>1</v>
      </c>
      <c r="AE80">
        <v>76</v>
      </c>
      <c r="AF80">
        <f t="shared" si="52"/>
        <v>385962.78862165875</v>
      </c>
      <c r="AG80">
        <f t="shared" si="53"/>
        <v>508053.0584917753</v>
      </c>
      <c r="AH80">
        <f t="shared" si="54"/>
        <v>551375.41231665539</v>
      </c>
      <c r="AJ80">
        <v>76</v>
      </c>
      <c r="AK80">
        <f t="shared" si="55"/>
        <v>346422.7412493857</v>
      </c>
      <c r="AL80">
        <f t="shared" si="56"/>
        <v>456005.44511398731</v>
      </c>
      <c r="AM80">
        <f t="shared" si="57"/>
        <v>494889.63035626529</v>
      </c>
      <c r="AO80">
        <v>76</v>
      </c>
      <c r="AP80">
        <f t="shared" si="58"/>
        <v>704578.18598904647</v>
      </c>
      <c r="AQ80">
        <f t="shared" si="59"/>
        <v>927454.95910803066</v>
      </c>
      <c r="AR80">
        <f t="shared" si="60"/>
        <v>1006540.2656986378</v>
      </c>
      <c r="AT80">
        <f t="shared" si="61"/>
        <v>732385.52987104445</v>
      </c>
      <c r="AU80" t="b">
        <f t="shared" si="62"/>
        <v>0</v>
      </c>
      <c r="AV80">
        <f t="shared" si="63"/>
        <v>964058.50360576261</v>
      </c>
      <c r="AW80" t="b">
        <f t="shared" si="64"/>
        <v>0</v>
      </c>
      <c r="AX80">
        <f t="shared" si="65"/>
        <v>1046265.0426729207</v>
      </c>
      <c r="AY80" t="b">
        <f t="shared" si="66"/>
        <v>0</v>
      </c>
      <c r="BA80">
        <v>76</v>
      </c>
      <c r="BB80">
        <f t="shared" si="67"/>
        <v>-3.3337136945665451E-4</v>
      </c>
      <c r="BC80">
        <f t="shared" si="68"/>
        <v>-1.1768910457769536E-4</v>
      </c>
      <c r="BD80">
        <f t="shared" si="69"/>
        <v>-2.1890757149285885E-4</v>
      </c>
      <c r="BG80">
        <v>75</v>
      </c>
      <c r="BH80">
        <f t="shared" si="73"/>
        <v>62939.540903211258</v>
      </c>
      <c r="BI80">
        <f t="shared" si="74"/>
        <v>82848.987515451561</v>
      </c>
      <c r="BJ80">
        <f t="shared" si="75"/>
        <v>89913.629861730369</v>
      </c>
      <c r="BL80">
        <v>75</v>
      </c>
      <c r="BM80">
        <f t="shared" si="76"/>
        <v>44101.980822306927</v>
      </c>
      <c r="BN80">
        <f t="shared" si="77"/>
        <v>58052.607408955031</v>
      </c>
      <c r="BO80">
        <f t="shared" si="78"/>
        <v>63002.829746152747</v>
      </c>
      <c r="BQ80">
        <v>75</v>
      </c>
      <c r="BR80">
        <f t="shared" si="79"/>
        <v>99613.589891155178</v>
      </c>
      <c r="BS80">
        <f t="shared" si="80"/>
        <v>131124.01118325529</v>
      </c>
      <c r="BT80">
        <f t="shared" si="81"/>
        <v>142305.12841593596</v>
      </c>
      <c r="BV80" t="b">
        <f t="shared" si="82"/>
        <v>0</v>
      </c>
      <c r="BW80" t="b">
        <f t="shared" si="83"/>
        <v>0</v>
      </c>
      <c r="BX80" t="b">
        <f t="shared" si="84"/>
        <v>0</v>
      </c>
      <c r="CB80">
        <v>-1.6850995644286926E-3</v>
      </c>
      <c r="CC80">
        <v>75</v>
      </c>
      <c r="CD80">
        <v>4.9669854689563678E-3</v>
      </c>
      <c r="CG80">
        <v>1.7393946179524812E-2</v>
      </c>
      <c r="CH80">
        <v>6.3408250229622602E-3</v>
      </c>
      <c r="CK80">
        <v>8.3502528467736467E-3</v>
      </c>
      <c r="CL80">
        <v>4.4127130548531927E-3</v>
      </c>
      <c r="CP80">
        <v>75</v>
      </c>
      <c r="CQ80">
        <f t="shared" si="85"/>
        <v>279917.27625638811</v>
      </c>
      <c r="CR80">
        <f t="shared" si="86"/>
        <v>481153.53415055521</v>
      </c>
      <c r="CS80">
        <f t="shared" si="87"/>
        <v>520033.17570958799</v>
      </c>
      <c r="CT80">
        <f t="shared" si="88"/>
        <v>255958.78965649445</v>
      </c>
      <c r="CU80">
        <f t="shared" si="70"/>
        <v>410052.99941557797</v>
      </c>
      <c r="CV80">
        <f t="shared" si="71"/>
        <v>435647.04736578598</v>
      </c>
      <c r="CW80">
        <f t="shared" si="92"/>
        <v>495498.9450169538</v>
      </c>
      <c r="CX80">
        <f t="shared" si="93"/>
        <v>841208.01354511757</v>
      </c>
      <c r="CY80">
        <f t="shared" si="94"/>
        <v>909046.39545937791</v>
      </c>
      <c r="DB80" t="b">
        <f t="shared" si="89"/>
        <v>0</v>
      </c>
      <c r="DC80" t="b">
        <f t="shared" si="90"/>
        <v>0</v>
      </c>
      <c r="DD80" t="b">
        <f t="shared" si="91"/>
        <v>0</v>
      </c>
    </row>
    <row r="81" spans="1:108" x14ac:dyDescent="0.25">
      <c r="A81" s="1">
        <v>44609</v>
      </c>
      <c r="B81">
        <v>151.229996</v>
      </c>
      <c r="C81">
        <v>154.770004</v>
      </c>
      <c r="D81">
        <v>147.820007</v>
      </c>
      <c r="E81">
        <v>148.36999499999999</v>
      </c>
      <c r="F81">
        <v>148.36999499999999</v>
      </c>
      <c r="G81">
        <v>1675700</v>
      </c>
      <c r="H81">
        <f xml:space="preserve"> (ENPH[[#This Row],[Close]]-E80)/E80</f>
        <v>-3.6746114631864765E-2</v>
      </c>
      <c r="K81" s="1">
        <v>44609</v>
      </c>
      <c r="L81">
        <v>262.85998499999999</v>
      </c>
      <c r="M81">
        <v>269.39001500000001</v>
      </c>
      <c r="N81">
        <v>261.01001000000002</v>
      </c>
      <c r="O81">
        <v>263.26001000000002</v>
      </c>
      <c r="P81">
        <v>263.26001000000002</v>
      </c>
      <c r="Q81">
        <v>647700</v>
      </c>
      <c r="R81">
        <f xml:space="preserve"> (SEDG4[[#This Row],[Close]]-O80)/O80</f>
        <v>-1.2972371727008212E-2</v>
      </c>
      <c r="V81">
        <f xml:space="preserve"> X81/(2*ENPH[[#This Row],[Close]])</f>
        <v>2329.9757546798883</v>
      </c>
      <c r="W81">
        <f xml:space="preserve"> X81/(2*SEDG4[[#This Row],[Close]])</f>
        <v>1313.144716024193</v>
      </c>
      <c r="X81">
        <f t="shared" si="49"/>
        <v>691396.98214395251</v>
      </c>
      <c r="Y81">
        <f t="shared" si="72"/>
        <v>-2.4129254797645775E-2</v>
      </c>
      <c r="Z81">
        <f xml:space="preserve"> V81*ENPH[[#This Row],[Close]]</f>
        <v>345698.4910719762</v>
      </c>
      <c r="AA81">
        <f xml:space="preserve"> W81*SEDG4[[#This Row],[Close]]</f>
        <v>345698.49107197626</v>
      </c>
      <c r="AB81">
        <f t="shared" si="50"/>
        <v>691396.98214395251</v>
      </c>
      <c r="AC81" t="b">
        <f t="shared" si="51"/>
        <v>1</v>
      </c>
      <c r="AE81">
        <v>77</v>
      </c>
      <c r="AF81">
        <f t="shared" si="52"/>
        <v>388493.71927197627</v>
      </c>
      <c r="AG81">
        <f t="shared" si="53"/>
        <v>511384.58965392795</v>
      </c>
      <c r="AH81">
        <f t="shared" si="54"/>
        <v>554991.02753139462</v>
      </c>
      <c r="AJ81">
        <v>77</v>
      </c>
      <c r="AK81">
        <f t="shared" si="55"/>
        <v>348694.39012239286</v>
      </c>
      <c r="AL81">
        <f t="shared" si="56"/>
        <v>458995.67679376202</v>
      </c>
      <c r="AM81">
        <f t="shared" si="57"/>
        <v>498134.84303198976</v>
      </c>
      <c r="AO81">
        <v>77</v>
      </c>
      <c r="AP81">
        <f t="shared" si="58"/>
        <v>709198.42032001156</v>
      </c>
      <c r="AQ81">
        <f t="shared" si="59"/>
        <v>933536.69613552548</v>
      </c>
      <c r="AR81">
        <f t="shared" si="60"/>
        <v>1013140.6004571593</v>
      </c>
      <c r="AT81">
        <f t="shared" si="61"/>
        <v>737188.10939436918</v>
      </c>
      <c r="AU81" t="b">
        <f t="shared" si="62"/>
        <v>0</v>
      </c>
      <c r="AV81">
        <f t="shared" si="63"/>
        <v>970380.26644768997</v>
      </c>
      <c r="AW81" t="b">
        <f t="shared" si="64"/>
        <v>0</v>
      </c>
      <c r="AX81">
        <f t="shared" si="65"/>
        <v>1053125.8705633844</v>
      </c>
      <c r="AY81" t="b">
        <f t="shared" si="66"/>
        <v>0</v>
      </c>
      <c r="BA81">
        <v>77</v>
      </c>
      <c r="BB81">
        <f t="shared" si="67"/>
        <v>-4.6096974036220946E-4</v>
      </c>
      <c r="BC81">
        <f t="shared" si="68"/>
        <v>-1.7330620119567904E-4</v>
      </c>
      <c r="BD81">
        <f t="shared" si="69"/>
        <v>-3.0655969649989707E-4</v>
      </c>
      <c r="BG81">
        <v>76</v>
      </c>
      <c r="BH81">
        <f t="shared" si="73"/>
        <v>63357.74843349283</v>
      </c>
      <c r="BI81">
        <f t="shared" si="74"/>
        <v>83399.48518286302</v>
      </c>
      <c r="BJ81">
        <f t="shared" si="75"/>
        <v>90511.069190704045</v>
      </c>
      <c r="BL81">
        <v>76</v>
      </c>
      <c r="BM81">
        <f t="shared" si="76"/>
        <v>44395.020463453737</v>
      </c>
      <c r="BN81">
        <f t="shared" si="77"/>
        <v>58438.343263117677</v>
      </c>
      <c r="BO81">
        <f t="shared" si="78"/>
        <v>63421.457804933903</v>
      </c>
      <c r="BQ81">
        <v>76</v>
      </c>
      <c r="BR81">
        <f t="shared" si="79"/>
        <v>100275.48149082421</v>
      </c>
      <c r="BS81">
        <f t="shared" si="80"/>
        <v>131995.27665628903</v>
      </c>
      <c r="BT81">
        <f t="shared" si="81"/>
        <v>143250.68784403458</v>
      </c>
      <c r="BV81" t="b">
        <f t="shared" si="82"/>
        <v>0</v>
      </c>
      <c r="BW81" t="b">
        <f t="shared" si="83"/>
        <v>0</v>
      </c>
      <c r="BX81" t="b">
        <f t="shared" si="84"/>
        <v>0</v>
      </c>
      <c r="CB81">
        <v>-3.6746114631864765E-2</v>
      </c>
      <c r="CC81">
        <v>76</v>
      </c>
      <c r="CD81">
        <v>5.0400660082361376E-3</v>
      </c>
      <c r="CG81">
        <v>-1.2972371727008212E-2</v>
      </c>
      <c r="CH81">
        <v>6.5337969696861427E-3</v>
      </c>
      <c r="CK81">
        <v>-2.4129254797645775E-2</v>
      </c>
      <c r="CL81">
        <v>5.435987030426517E-3</v>
      </c>
      <c r="CP81">
        <v>76</v>
      </c>
      <c r="CQ81">
        <f t="shared" si="85"/>
        <v>281777.21217435657</v>
      </c>
      <c r="CR81">
        <f t="shared" si="86"/>
        <v>484350.6027709443</v>
      </c>
      <c r="CS81">
        <f t="shared" si="87"/>
        <v>523488.58366072696</v>
      </c>
      <c r="CT81">
        <f t="shared" si="88"/>
        <v>257659.53122117658</v>
      </c>
      <c r="CU81">
        <f t="shared" si="70"/>
        <v>412777.63403650495</v>
      </c>
      <c r="CV81">
        <f t="shared" si="71"/>
        <v>438541.74397683179</v>
      </c>
      <c r="CW81">
        <f t="shared" si="92"/>
        <v>498791.3330305767</v>
      </c>
      <c r="CX81">
        <f t="shared" si="93"/>
        <v>846797.4970518176</v>
      </c>
      <c r="CY81">
        <f t="shared" si="94"/>
        <v>915086.63729306182</v>
      </c>
      <c r="DB81" t="b">
        <f t="shared" si="89"/>
        <v>0</v>
      </c>
      <c r="DC81" t="b">
        <f t="shared" si="90"/>
        <v>0</v>
      </c>
      <c r="DD81" t="b">
        <f t="shared" si="91"/>
        <v>0</v>
      </c>
    </row>
    <row r="82" spans="1:108" x14ac:dyDescent="0.25">
      <c r="A82" s="1">
        <v>44610</v>
      </c>
      <c r="B82">
        <v>148.44000199999999</v>
      </c>
      <c r="C82">
        <v>148.96000699999999</v>
      </c>
      <c r="D82">
        <v>139.279999</v>
      </c>
      <c r="E82">
        <v>140.35000600000001</v>
      </c>
      <c r="F82">
        <v>140.35000600000001</v>
      </c>
      <c r="G82">
        <v>2610300</v>
      </c>
      <c r="H82">
        <f xml:space="preserve"> (ENPH[[#This Row],[Close]]-E81)/E81</f>
        <v>-5.4053981736671093E-2</v>
      </c>
      <c r="K82" s="1">
        <v>44610</v>
      </c>
      <c r="L82">
        <v>264.32000699999998</v>
      </c>
      <c r="M82">
        <v>264.85501099999999</v>
      </c>
      <c r="N82">
        <v>255.220001</v>
      </c>
      <c r="O82">
        <v>257.91000400000001</v>
      </c>
      <c r="P82">
        <v>257.91000400000001</v>
      </c>
      <c r="Q82">
        <v>1003400</v>
      </c>
      <c r="R82">
        <f xml:space="preserve"> (SEDG4[[#This Row],[Close]]-O81)/O81</f>
        <v>-2.0322137038587849E-2</v>
      </c>
      <c r="V82">
        <f xml:space="preserve"> X82/(2*ENPH[[#This Row],[Close]])</f>
        <v>2374.5738044177356</v>
      </c>
      <c r="W82">
        <f xml:space="preserve"> X82/(2*SEDG4[[#This Row],[Close]])</f>
        <v>1292.2005448748394</v>
      </c>
      <c r="X82">
        <f t="shared" si="49"/>
        <v>666542.895394944</v>
      </c>
      <c r="Y82">
        <f t="shared" si="72"/>
        <v>-3.5947635571012305E-2</v>
      </c>
      <c r="Z82">
        <f xml:space="preserve"> V82*ENPH[[#This Row],[Close]]</f>
        <v>333271.44769747206</v>
      </c>
      <c r="AA82">
        <f xml:space="preserve"> W82*SEDG4[[#This Row],[Close]]</f>
        <v>333271.447697472</v>
      </c>
      <c r="AB82">
        <f t="shared" si="50"/>
        <v>666542.89539494412</v>
      </c>
      <c r="AC82" t="b">
        <f t="shared" si="51"/>
        <v>1</v>
      </c>
      <c r="AE82">
        <v>78</v>
      </c>
      <c r="AF82">
        <f t="shared" si="52"/>
        <v>391008.26797772321</v>
      </c>
      <c r="AG82">
        <f t="shared" si="53"/>
        <v>514694.55682781938</v>
      </c>
      <c r="AH82">
        <f t="shared" si="54"/>
        <v>558583.239968176</v>
      </c>
      <c r="AJ82">
        <v>78</v>
      </c>
      <c r="AK82">
        <f t="shared" si="55"/>
        <v>350951.33530293935</v>
      </c>
      <c r="AL82">
        <f t="shared" si="56"/>
        <v>461966.55361305288</v>
      </c>
      <c r="AM82">
        <f t="shared" si="57"/>
        <v>501359.05043277051</v>
      </c>
      <c r="AO82">
        <v>78</v>
      </c>
      <c r="AP82">
        <f t="shared" si="58"/>
        <v>713788.74927893362</v>
      </c>
      <c r="AQ82">
        <f t="shared" si="59"/>
        <v>939579.06792839221</v>
      </c>
      <c r="AR82">
        <f t="shared" si="60"/>
        <v>1019698.2132556194</v>
      </c>
      <c r="AT82">
        <f t="shared" si="61"/>
        <v>741959.60328066256</v>
      </c>
      <c r="AU82" t="b">
        <f t="shared" si="62"/>
        <v>0</v>
      </c>
      <c r="AV82">
        <f t="shared" si="63"/>
        <v>976661.11044087226</v>
      </c>
      <c r="AW82" t="b">
        <f t="shared" si="64"/>
        <v>0</v>
      </c>
      <c r="AX82">
        <f t="shared" si="65"/>
        <v>1059942.2904009465</v>
      </c>
      <c r="AY82" t="b">
        <f t="shared" si="66"/>
        <v>0</v>
      </c>
      <c r="BA82">
        <v>78</v>
      </c>
      <c r="BB82">
        <f t="shared" si="67"/>
        <v>-4.1809179206248737E-4</v>
      </c>
      <c r="BC82">
        <f t="shared" si="68"/>
        <v>-3.6800691975240281E-4</v>
      </c>
      <c r="BD82">
        <f t="shared" si="69"/>
        <v>-3.9077183776405907E-4</v>
      </c>
      <c r="BG82">
        <v>77</v>
      </c>
      <c r="BH82">
        <f t="shared" si="73"/>
        <v>63773.213530576635</v>
      </c>
      <c r="BI82">
        <f t="shared" si="74"/>
        <v>83946.372912697829</v>
      </c>
      <c r="BJ82">
        <f t="shared" si="75"/>
        <v>91104.590757966624</v>
      </c>
      <c r="BL82">
        <v>77</v>
      </c>
      <c r="BM82">
        <f t="shared" si="76"/>
        <v>44686.138471004902</v>
      </c>
      <c r="BN82">
        <f t="shared" si="77"/>
        <v>58821.549619996251</v>
      </c>
      <c r="BO82">
        <f t="shared" si="78"/>
        <v>63837.340672864142</v>
      </c>
      <c r="BQ82">
        <v>77</v>
      </c>
      <c r="BR82">
        <f t="shared" si="79"/>
        <v>100933.0326772658</v>
      </c>
      <c r="BS82">
        <f t="shared" si="80"/>
        <v>132860.82872823763</v>
      </c>
      <c r="BT82">
        <f t="shared" si="81"/>
        <v>144190.04668180828</v>
      </c>
      <c r="BV82" t="b">
        <f t="shared" si="82"/>
        <v>0</v>
      </c>
      <c r="BW82" t="b">
        <f t="shared" si="83"/>
        <v>0</v>
      </c>
      <c r="BX82" t="b">
        <f t="shared" si="84"/>
        <v>0</v>
      </c>
      <c r="CB82">
        <v>-5.4053981736671093E-2</v>
      </c>
      <c r="CC82">
        <v>77</v>
      </c>
      <c r="CD82">
        <v>5.068221248351587E-3</v>
      </c>
      <c r="CG82">
        <v>-2.0322137038587849E-2</v>
      </c>
      <c r="CH82">
        <v>6.6439177498655265E-3</v>
      </c>
      <c r="CK82">
        <v>-3.5947635571012305E-2</v>
      </c>
      <c r="CL82">
        <v>5.8536187003610362E-3</v>
      </c>
      <c r="CP82">
        <v>77</v>
      </c>
      <c r="CQ82">
        <f t="shared" si="85"/>
        <v>283624.9513965752</v>
      </c>
      <c r="CR82">
        <f t="shared" si="86"/>
        <v>487526.7063285709</v>
      </c>
      <c r="CS82">
        <f t="shared" si="87"/>
        <v>526921.33246588963</v>
      </c>
      <c r="CT82">
        <f t="shared" si="88"/>
        <v>259349.1200212859</v>
      </c>
      <c r="CU82">
        <f t="shared" si="70"/>
        <v>415484.40162277769</v>
      </c>
      <c r="CV82">
        <f t="shared" si="71"/>
        <v>441417.45835654793</v>
      </c>
      <c r="CW82">
        <f t="shared" si="92"/>
        <v>502062.13091601041</v>
      </c>
      <c r="CX82">
        <f t="shared" si="93"/>
        <v>852350.32702165563</v>
      </c>
      <c r="CY82">
        <f t="shared" si="94"/>
        <v>921087.26970193186</v>
      </c>
      <c r="DB82" t="b">
        <f t="shared" si="89"/>
        <v>0</v>
      </c>
      <c r="DC82" t="b">
        <f t="shared" si="90"/>
        <v>0</v>
      </c>
      <c r="DD82" t="b">
        <f t="shared" si="91"/>
        <v>0</v>
      </c>
    </row>
    <row r="83" spans="1:108" x14ac:dyDescent="0.25">
      <c r="A83" s="1">
        <v>44614</v>
      </c>
      <c r="B83">
        <v>137.19000199999999</v>
      </c>
      <c r="C83">
        <v>139.89999399999999</v>
      </c>
      <c r="D83">
        <v>131.300003</v>
      </c>
      <c r="E83">
        <v>133.029999</v>
      </c>
      <c r="F83">
        <v>133.029999</v>
      </c>
      <c r="G83">
        <v>2587900</v>
      </c>
      <c r="H83">
        <f xml:space="preserve"> (ENPH[[#This Row],[Close]]-E82)/E82</f>
        <v>-5.2155373616442909E-2</v>
      </c>
      <c r="K83" s="1">
        <v>44614</v>
      </c>
      <c r="L83">
        <v>250.61999499999999</v>
      </c>
      <c r="M83">
        <v>257.88501000000002</v>
      </c>
      <c r="N83">
        <v>244.86000100000001</v>
      </c>
      <c r="O83">
        <v>246.070007</v>
      </c>
      <c r="P83">
        <v>246.070007</v>
      </c>
      <c r="Q83">
        <v>715200</v>
      </c>
      <c r="R83">
        <f xml:space="preserve"> (SEDG4[[#This Row],[Close]]-O82)/O82</f>
        <v>-4.5907474763949095E-2</v>
      </c>
      <c r="V83">
        <f xml:space="preserve"> X83/(2*ENPH[[#This Row],[Close]])</f>
        <v>2383.1117996497824</v>
      </c>
      <c r="W83">
        <f xml:space="preserve"> X83/(2*SEDG4[[#This Row],[Close]])</f>
        <v>1288.3543353753744</v>
      </c>
      <c r="X83">
        <f t="shared" si="49"/>
        <v>634050.72064859746</v>
      </c>
      <c r="Y83">
        <f t="shared" si="72"/>
        <v>-4.8747312394792061E-2</v>
      </c>
      <c r="Z83">
        <f xml:space="preserve"> V83*ENPH[[#This Row],[Close]]</f>
        <v>317025.36032429873</v>
      </c>
      <c r="AA83">
        <f xml:space="preserve"> W83*SEDG4[[#This Row],[Close]]</f>
        <v>317025.36032429873</v>
      </c>
      <c r="AB83">
        <f t="shared" si="50"/>
        <v>634050.72064859746</v>
      </c>
      <c r="AC83" t="b">
        <f t="shared" si="51"/>
        <v>1</v>
      </c>
      <c r="AE83">
        <v>79</v>
      </c>
      <c r="AF83">
        <f t="shared" si="52"/>
        <v>393506.74878597044</v>
      </c>
      <c r="AG83">
        <f t="shared" si="53"/>
        <v>517983.37340194074</v>
      </c>
      <c r="AH83">
        <f t="shared" si="54"/>
        <v>562152.49826567201</v>
      </c>
      <c r="AJ83">
        <v>79</v>
      </c>
      <c r="AK83">
        <f t="shared" si="55"/>
        <v>353193.85866547114</v>
      </c>
      <c r="AL83">
        <f t="shared" si="56"/>
        <v>464918.44661067118</v>
      </c>
      <c r="AM83">
        <f t="shared" si="57"/>
        <v>504562.65523638728</v>
      </c>
      <c r="AO83">
        <v>79</v>
      </c>
      <c r="AP83">
        <f t="shared" si="58"/>
        <v>718349.74616127531</v>
      </c>
      <c r="AQ83">
        <f t="shared" si="59"/>
        <v>945582.8291306583</v>
      </c>
      <c r="AR83">
        <f t="shared" si="60"/>
        <v>1026213.923087536</v>
      </c>
      <c r="AT83">
        <f t="shared" si="61"/>
        <v>746700.60745144158</v>
      </c>
      <c r="AU83" t="b">
        <f t="shared" si="62"/>
        <v>0</v>
      </c>
      <c r="AV83">
        <f t="shared" si="63"/>
        <v>982901.82001261192</v>
      </c>
      <c r="AW83" t="b">
        <f t="shared" si="64"/>
        <v>0</v>
      </c>
      <c r="AX83">
        <f t="shared" si="65"/>
        <v>1066715.1535020592</v>
      </c>
      <c r="AY83" t="b">
        <f t="shared" si="66"/>
        <v>0</v>
      </c>
      <c r="BA83">
        <v>79</v>
      </c>
      <c r="BB83">
        <f t="shared" si="67"/>
        <v>-3.6648414804585003E-4</v>
      </c>
      <c r="BC83">
        <f t="shared" si="68"/>
        <v>-3.0500106289217828E-4</v>
      </c>
      <c r="BD83">
        <f t="shared" si="69"/>
        <v>-3.328466530608107E-4</v>
      </c>
      <c r="BG83">
        <v>78</v>
      </c>
      <c r="BH83">
        <f t="shared" si="73"/>
        <v>64185.989448409091</v>
      </c>
      <c r="BI83">
        <f t="shared" si="74"/>
        <v>84489.720804538505</v>
      </c>
      <c r="BJ83">
        <f t="shared" si="75"/>
        <v>91694.270640584407</v>
      </c>
      <c r="BL83">
        <v>78</v>
      </c>
      <c r="BM83">
        <f t="shared" si="76"/>
        <v>44975.372160207553</v>
      </c>
      <c r="BN83">
        <f t="shared" si="77"/>
        <v>59202.275598640554</v>
      </c>
      <c r="BO83">
        <f t="shared" si="78"/>
        <v>64250.531657439358</v>
      </c>
      <c r="BQ83">
        <v>78</v>
      </c>
      <c r="BR83">
        <f t="shared" si="79"/>
        <v>101586.32773480585</v>
      </c>
      <c r="BS83">
        <f t="shared" si="80"/>
        <v>133720.77834479546</v>
      </c>
      <c r="BT83">
        <f t="shared" si="81"/>
        <v>145123.32533543691</v>
      </c>
      <c r="BV83" t="b">
        <f t="shared" si="82"/>
        <v>0</v>
      </c>
      <c r="BW83" t="b">
        <f t="shared" si="83"/>
        <v>0</v>
      </c>
      <c r="BX83" t="b">
        <f t="shared" si="84"/>
        <v>0</v>
      </c>
      <c r="CB83">
        <v>-5.2155373616442909E-2</v>
      </c>
      <c r="CC83">
        <v>78</v>
      </c>
      <c r="CD83">
        <v>5.1848631467531874E-3</v>
      </c>
      <c r="CG83">
        <v>-4.5907474763949095E-2</v>
      </c>
      <c r="CH83">
        <v>6.7006627689895583E-3</v>
      </c>
      <c r="CK83">
        <v>-4.8747312394792061E-2</v>
      </c>
      <c r="CL83">
        <v>5.967018147725444E-3</v>
      </c>
      <c r="CP83">
        <v>78</v>
      </c>
      <c r="CQ83">
        <f t="shared" si="85"/>
        <v>285460.73076461308</v>
      </c>
      <c r="CR83">
        <f t="shared" si="86"/>
        <v>490682.25193356263</v>
      </c>
      <c r="CS83">
        <f t="shared" si="87"/>
        <v>530331.8621317629</v>
      </c>
      <c r="CT83">
        <f t="shared" si="88"/>
        <v>261027.77262681123</v>
      </c>
      <c r="CU83">
        <f t="shared" si="70"/>
        <v>418173.64912545658</v>
      </c>
      <c r="CV83">
        <f t="shared" si="71"/>
        <v>444274.55911144457</v>
      </c>
      <c r="CW83">
        <f t="shared" si="92"/>
        <v>505311.75792121713</v>
      </c>
      <c r="CX83">
        <f t="shared" si="93"/>
        <v>857867.21521143569</v>
      </c>
      <c r="CY83">
        <f t="shared" si="94"/>
        <v>927049.06184171035</v>
      </c>
      <c r="DB83" t="b">
        <f t="shared" si="89"/>
        <v>0</v>
      </c>
      <c r="DC83" t="b">
        <f t="shared" si="90"/>
        <v>0</v>
      </c>
      <c r="DD83" t="b">
        <f t="shared" si="91"/>
        <v>0</v>
      </c>
    </row>
    <row r="84" spans="1:108" x14ac:dyDescent="0.25">
      <c r="A84" s="1">
        <v>44615</v>
      </c>
      <c r="B84">
        <v>135</v>
      </c>
      <c r="C84">
        <v>135.520004</v>
      </c>
      <c r="D84">
        <v>126.120003</v>
      </c>
      <c r="E84">
        <v>126.55999799999999</v>
      </c>
      <c r="F84">
        <v>126.55999799999999</v>
      </c>
      <c r="G84">
        <v>2107500</v>
      </c>
      <c r="H84">
        <f xml:space="preserve"> (ENPH[[#This Row],[Close]]-E83)/E83</f>
        <v>-4.8635653977566445E-2</v>
      </c>
      <c r="K84" s="1">
        <v>44615</v>
      </c>
      <c r="L84">
        <v>249.61000100000001</v>
      </c>
      <c r="M84">
        <v>250</v>
      </c>
      <c r="N84">
        <v>234.10000600000001</v>
      </c>
      <c r="O84">
        <v>236.11000100000001</v>
      </c>
      <c r="P84">
        <v>236.11000100000001</v>
      </c>
      <c r="Q84">
        <v>662600</v>
      </c>
      <c r="R84">
        <f xml:space="preserve"> (SEDG4[[#This Row],[Close]]-O83)/O83</f>
        <v>-4.0476310467207781E-2</v>
      </c>
      <c r="V84">
        <f xml:space="preserve"> X84/(2*ENPH[[#This Row],[Close]])</f>
        <v>2394.2938323302401</v>
      </c>
      <c r="W84">
        <f xml:space="preserve"> X84/(2*SEDG4[[#This Row],[Close]])</f>
        <v>1283.3925769672394</v>
      </c>
      <c r="X84">
        <f t="shared" si="49"/>
        <v>606043.64526225498</v>
      </c>
      <c r="Y84">
        <f t="shared" si="72"/>
        <v>-4.4171663991948225E-2</v>
      </c>
      <c r="Z84">
        <f xml:space="preserve"> V84*ENPH[[#This Row],[Close]]</f>
        <v>303021.82263112749</v>
      </c>
      <c r="AA84">
        <f xml:space="preserve"> W84*SEDG4[[#This Row],[Close]]</f>
        <v>303021.82263112749</v>
      </c>
      <c r="AB84">
        <f t="shared" si="50"/>
        <v>606043.64526225498</v>
      </c>
      <c r="AC84" t="b">
        <f t="shared" si="51"/>
        <v>1</v>
      </c>
      <c r="AE84">
        <v>80</v>
      </c>
      <c r="AF84">
        <f t="shared" si="52"/>
        <v>395989.4658362401</v>
      </c>
      <c r="AG84">
        <f t="shared" si="53"/>
        <v>521251.43972321402</v>
      </c>
      <c r="AH84">
        <f t="shared" si="54"/>
        <v>565699.2369089144</v>
      </c>
      <c r="AJ84">
        <v>80</v>
      </c>
      <c r="AK84">
        <f t="shared" si="55"/>
        <v>355422.23319186643</v>
      </c>
      <c r="AL84">
        <f t="shared" si="56"/>
        <v>467851.71511990583</v>
      </c>
      <c r="AM84">
        <f t="shared" si="57"/>
        <v>507746.04741695203</v>
      </c>
      <c r="AO84">
        <v>80</v>
      </c>
      <c r="AP84">
        <f t="shared" si="58"/>
        <v>722881.96617618925</v>
      </c>
      <c r="AQ84">
        <f t="shared" si="59"/>
        <v>951548.71057886141</v>
      </c>
      <c r="AR84">
        <f t="shared" si="60"/>
        <v>1032688.5231088417</v>
      </c>
      <c r="AT84">
        <f t="shared" si="61"/>
        <v>751411.69902810652</v>
      </c>
      <c r="AU84" t="b">
        <f t="shared" si="62"/>
        <v>0</v>
      </c>
      <c r="AV84">
        <f t="shared" si="63"/>
        <v>989103.1548431199</v>
      </c>
      <c r="AW84" t="b">
        <f t="shared" si="64"/>
        <v>0</v>
      </c>
      <c r="AX84">
        <f t="shared" si="65"/>
        <v>1073445.2843258665</v>
      </c>
      <c r="AY84" t="b">
        <f t="shared" si="66"/>
        <v>0</v>
      </c>
      <c r="BA84">
        <v>80</v>
      </c>
      <c r="BB84">
        <f t="shared" si="67"/>
        <v>1.163553843637806E-3</v>
      </c>
      <c r="BC84">
        <f t="shared" si="68"/>
        <v>1.0523822198492555E-3</v>
      </c>
      <c r="BD84">
        <f t="shared" si="69"/>
        <v>1.1024965228406815E-3</v>
      </c>
      <c r="BG84">
        <v>79</v>
      </c>
      <c r="BH84">
        <f t="shared" si="73"/>
        <v>64596.127739408985</v>
      </c>
      <c r="BI84">
        <f t="shared" si="74"/>
        <v>85029.596718201632</v>
      </c>
      <c r="BJ84">
        <f t="shared" si="75"/>
        <v>92280.182484869976</v>
      </c>
      <c r="BL84">
        <v>79</v>
      </c>
      <c r="BM84">
        <f t="shared" si="76"/>
        <v>45262.757654041816</v>
      </c>
      <c r="BN84">
        <f t="shared" si="77"/>
        <v>59580.568748687692</v>
      </c>
      <c r="BO84">
        <f t="shared" si="78"/>
        <v>64661.082362916874</v>
      </c>
      <c r="BQ84">
        <v>79</v>
      </c>
      <c r="BR84">
        <f t="shared" si="79"/>
        <v>102235.44825478469</v>
      </c>
      <c r="BS84">
        <f t="shared" si="80"/>
        <v>134575.23290680841</v>
      </c>
      <c r="BT84">
        <f t="shared" si="81"/>
        <v>146050.64036397811</v>
      </c>
      <c r="BV84" t="b">
        <f t="shared" si="82"/>
        <v>0</v>
      </c>
      <c r="BW84" t="b">
        <f t="shared" si="83"/>
        <v>0</v>
      </c>
      <c r="BX84" t="b">
        <f t="shared" si="84"/>
        <v>0</v>
      </c>
      <c r="CB84">
        <v>-4.8635653977566445E-2</v>
      </c>
      <c r="CC84">
        <v>79</v>
      </c>
      <c r="CD84">
        <v>8.2540449518525953E-3</v>
      </c>
      <c r="CG84">
        <v>-4.0476310467207781E-2</v>
      </c>
      <c r="CH84">
        <v>7.5920303077189298E-3</v>
      </c>
      <c r="CK84">
        <v>-4.4171663991948225E-2</v>
      </c>
      <c r="CL84">
        <v>5.9864926477502418E-3</v>
      </c>
      <c r="CP84">
        <v>79</v>
      </c>
      <c r="CQ84">
        <f t="shared" si="85"/>
        <v>287284.77955266641</v>
      </c>
      <c r="CR84">
        <f t="shared" si="86"/>
        <v>493817.63368838886</v>
      </c>
      <c r="CS84">
        <f t="shared" si="87"/>
        <v>533720.59860629123</v>
      </c>
      <c r="CT84">
        <f t="shared" si="88"/>
        <v>262695.69868806977</v>
      </c>
      <c r="CU84">
        <f t="shared" si="70"/>
        <v>420845.71241009841</v>
      </c>
      <c r="CV84">
        <f t="shared" si="71"/>
        <v>447113.40307061037</v>
      </c>
      <c r="CW84">
        <f t="shared" si="92"/>
        <v>508540.61989868246</v>
      </c>
      <c r="CX84">
        <f t="shared" si="93"/>
        <v>863348.85063647584</v>
      </c>
      <c r="CY84">
        <f t="shared" si="94"/>
        <v>932972.75829266896</v>
      </c>
      <c r="DB84" t="b">
        <f t="shared" si="89"/>
        <v>0</v>
      </c>
      <c r="DC84" t="b">
        <f t="shared" si="90"/>
        <v>0</v>
      </c>
      <c r="DD84" t="b">
        <f t="shared" si="91"/>
        <v>0</v>
      </c>
    </row>
    <row r="85" spans="1:108" x14ac:dyDescent="0.25">
      <c r="A85" s="1">
        <v>44616</v>
      </c>
      <c r="B85">
        <v>119</v>
      </c>
      <c r="C85">
        <v>147.929993</v>
      </c>
      <c r="D85">
        <v>118.57</v>
      </c>
      <c r="E85">
        <v>147.35000600000001</v>
      </c>
      <c r="F85">
        <v>147.35000600000001</v>
      </c>
      <c r="G85">
        <v>5034800</v>
      </c>
      <c r="H85">
        <f xml:space="preserve"> (ENPH[[#This Row],[Close]]-E84)/E84</f>
        <v>0.16426997731147258</v>
      </c>
      <c r="K85" s="1">
        <v>44616</v>
      </c>
      <c r="L85">
        <v>223.429993</v>
      </c>
      <c r="M85">
        <v>271.66000400000001</v>
      </c>
      <c r="N85">
        <v>220.029999</v>
      </c>
      <c r="O85">
        <v>271.19000199999999</v>
      </c>
      <c r="P85">
        <v>271.19000199999999</v>
      </c>
      <c r="Q85">
        <v>1351300</v>
      </c>
      <c r="R85">
        <f xml:space="preserve"> (SEDG4[[#This Row],[Close]]-O84)/O84</f>
        <v>0.14857482042872033</v>
      </c>
      <c r="V85">
        <f xml:space="preserve"> X85/(2*ENPH[[#This Row],[Close]])</f>
        <v>2376.5669156385188</v>
      </c>
      <c r="W85">
        <f xml:space="preserve"> X85/(2*SEDG4[[#This Row],[Close]])</f>
        <v>1291.2981551537334</v>
      </c>
      <c r="X85">
        <f t="shared" si="49"/>
        <v>700374.29855747451</v>
      </c>
      <c r="Y85">
        <f t="shared" si="72"/>
        <v>0.15564993384989551</v>
      </c>
      <c r="Z85">
        <f xml:space="preserve"> V85*ENPH[[#This Row],[Close]]</f>
        <v>350187.14927873726</v>
      </c>
      <c r="AA85">
        <f xml:space="preserve"> W85*SEDG4[[#This Row],[Close]]</f>
        <v>350187.14927873726</v>
      </c>
      <c r="AB85">
        <f t="shared" si="50"/>
        <v>700374.29855747451</v>
      </c>
      <c r="AC85" t="b">
        <f t="shared" si="51"/>
        <v>1</v>
      </c>
      <c r="AE85">
        <v>81</v>
      </c>
      <c r="AF85">
        <f t="shared" si="52"/>
        <v>398456.71379264857</v>
      </c>
      <c r="AG85">
        <f t="shared" si="53"/>
        <v>524499.14366583328</v>
      </c>
      <c r="AH85">
        <f t="shared" si="54"/>
        <v>569223.87684664072</v>
      </c>
      <c r="AJ85">
        <v>81</v>
      </c>
      <c r="AK85">
        <f t="shared" si="55"/>
        <v>357636.72335930791</v>
      </c>
      <c r="AL85">
        <f t="shared" si="56"/>
        <v>470766.70727908902</v>
      </c>
      <c r="AM85">
        <f t="shared" si="57"/>
        <v>510909.60479901126</v>
      </c>
      <c r="AO85">
        <v>81</v>
      </c>
      <c r="AP85">
        <f t="shared" si="58"/>
        <v>727385.94723539811</v>
      </c>
      <c r="AQ85">
        <f t="shared" si="59"/>
        <v>957477.42034047318</v>
      </c>
      <c r="AR85">
        <f t="shared" si="60"/>
        <v>1039122.7817648544</v>
      </c>
      <c r="AT85">
        <f t="shared" si="61"/>
        <v>756093.43715195649</v>
      </c>
      <c r="AU85" t="b">
        <f t="shared" si="62"/>
        <v>0</v>
      </c>
      <c r="AV85">
        <f t="shared" si="63"/>
        <v>995265.85094492231</v>
      </c>
      <c r="AW85" t="b">
        <f t="shared" si="64"/>
        <v>0</v>
      </c>
      <c r="AX85">
        <f t="shared" si="65"/>
        <v>1080133.4816456521</v>
      </c>
      <c r="AY85" t="b">
        <f t="shared" si="66"/>
        <v>0</v>
      </c>
      <c r="BA85">
        <v>81</v>
      </c>
      <c r="BB85">
        <f t="shared" si="67"/>
        <v>2.882876126520146E-4</v>
      </c>
      <c r="BC85">
        <f t="shared" si="68"/>
        <v>1.6547857939550582E-4</v>
      </c>
      <c r="BD85">
        <f t="shared" si="69"/>
        <v>2.2125176588967018E-4</v>
      </c>
      <c r="BG85">
        <v>80</v>
      </c>
      <c r="BH85">
        <f t="shared" si="73"/>
        <v>65003.678329620729</v>
      </c>
      <c r="BI85">
        <f t="shared" si="74"/>
        <v>85566.06637266402</v>
      </c>
      <c r="BJ85">
        <f t="shared" si="75"/>
        <v>92862.397613743888</v>
      </c>
      <c r="BL85">
        <v>80</v>
      </c>
      <c r="BM85">
        <f t="shared" si="76"/>
        <v>45548.32993588096</v>
      </c>
      <c r="BN85">
        <f t="shared" si="77"/>
        <v>59956.475119680043</v>
      </c>
      <c r="BO85">
        <f t="shared" si="78"/>
        <v>65069.042765544225</v>
      </c>
      <c r="BQ85">
        <v>80</v>
      </c>
      <c r="BR85">
        <f t="shared" si="79"/>
        <v>102880.47325450119</v>
      </c>
      <c r="BS85">
        <f t="shared" si="80"/>
        <v>135424.29642684342</v>
      </c>
      <c r="BT85">
        <f t="shared" si="81"/>
        <v>146972.10464928742</v>
      </c>
      <c r="BV85" t="b">
        <f t="shared" si="82"/>
        <v>0</v>
      </c>
      <c r="BW85" t="b">
        <f t="shared" si="83"/>
        <v>0</v>
      </c>
      <c r="BX85" t="b">
        <f t="shared" si="84"/>
        <v>0</v>
      </c>
      <c r="CB85">
        <v>0.16426997731147258</v>
      </c>
      <c r="CC85">
        <v>80</v>
      </c>
      <c r="CD85">
        <v>8.5013144547785909E-3</v>
      </c>
      <c r="CG85">
        <v>0.14857482042872033</v>
      </c>
      <c r="CH85">
        <v>8.1541774387109064E-3</v>
      </c>
      <c r="CK85">
        <v>0.15564993384989551</v>
      </c>
      <c r="CL85">
        <v>6.0237300246614497E-3</v>
      </c>
      <c r="CP85">
        <v>80</v>
      </c>
      <c r="CQ85">
        <f t="shared" si="85"/>
        <v>289097.31980179518</v>
      </c>
      <c r="CR85">
        <f t="shared" si="86"/>
        <v>496933.23326238448</v>
      </c>
      <c r="CS85">
        <f t="shared" si="87"/>
        <v>537087.95439962391</v>
      </c>
      <c r="CT85">
        <f t="shared" si="88"/>
        <v>264353.10124133603</v>
      </c>
      <c r="CU85">
        <f t="shared" si="70"/>
        <v>423500.91674638214</v>
      </c>
      <c r="CV85">
        <f t="shared" si="71"/>
        <v>449934.33580589941</v>
      </c>
      <c r="CW85">
        <f t="shared" si="92"/>
        <v>511749.10989706835</v>
      </c>
      <c r="CX85">
        <f t="shared" si="93"/>
        <v>868795.9005750569</v>
      </c>
      <c r="CY85">
        <f t="shared" si="94"/>
        <v>938859.08014508057</v>
      </c>
      <c r="DB85" t="b">
        <f t="shared" si="89"/>
        <v>0</v>
      </c>
      <c r="DC85" t="b">
        <f t="shared" si="90"/>
        <v>0</v>
      </c>
      <c r="DD85" t="b">
        <f t="shared" si="91"/>
        <v>0</v>
      </c>
    </row>
    <row r="86" spans="1:108" x14ac:dyDescent="0.25">
      <c r="A86" s="1">
        <v>44617</v>
      </c>
      <c r="B86">
        <v>148</v>
      </c>
      <c r="C86">
        <v>154.570007</v>
      </c>
      <c r="D86">
        <v>146.03999300000001</v>
      </c>
      <c r="E86">
        <v>153.729996</v>
      </c>
      <c r="F86">
        <v>153.729996</v>
      </c>
      <c r="G86">
        <v>3086900</v>
      </c>
      <c r="H86">
        <f xml:space="preserve"> (ENPH[[#This Row],[Close]]-E85)/E85</f>
        <v>4.3298199797833684E-2</v>
      </c>
      <c r="K86" s="1">
        <v>44617</v>
      </c>
      <c r="L86">
        <v>271.17999300000002</v>
      </c>
      <c r="M86">
        <v>278.14001500000001</v>
      </c>
      <c r="N86">
        <v>262.54998799999998</v>
      </c>
      <c r="O86">
        <v>277.92999300000002</v>
      </c>
      <c r="P86">
        <v>277.92999300000002</v>
      </c>
      <c r="Q86">
        <v>826800</v>
      </c>
      <c r="R86">
        <f xml:space="preserve"> (SEDG4[[#This Row],[Close]]-O85)/O85</f>
        <v>2.4853390428456992E-2</v>
      </c>
      <c r="V86">
        <f xml:space="preserve"> X86/(2*ENPH[[#This Row],[Close]])</f>
        <v>2353.6322429266884</v>
      </c>
      <c r="W86">
        <f xml:space="preserve"> X86/(2*SEDG4[[#This Row],[Close]])</f>
        <v>1301.852568645194</v>
      </c>
      <c r="X86">
        <f t="shared" si="49"/>
        <v>723647.75058118161</v>
      </c>
      <c r="Y86">
        <f t="shared" si="72"/>
        <v>3.3230020107308689E-2</v>
      </c>
      <c r="Z86">
        <f xml:space="preserve"> V86*ENPH[[#This Row],[Close]]</f>
        <v>361823.8752905908</v>
      </c>
      <c r="AA86">
        <f xml:space="preserve"> W86*SEDG4[[#This Row],[Close]]</f>
        <v>361823.8752905908</v>
      </c>
      <c r="AB86">
        <f t="shared" si="50"/>
        <v>723647.75058118161</v>
      </c>
      <c r="AC86" t="b">
        <f t="shared" si="51"/>
        <v>1</v>
      </c>
      <c r="AE86">
        <v>82</v>
      </c>
      <c r="AF86">
        <f t="shared" si="52"/>
        <v>400908.77825211384</v>
      </c>
      <c r="AG86">
        <f t="shared" si="53"/>
        <v>527726.86116859887</v>
      </c>
      <c r="AH86">
        <f t="shared" si="54"/>
        <v>572726.8260744483</v>
      </c>
      <c r="AJ86">
        <v>82</v>
      </c>
      <c r="AK86">
        <f t="shared" si="55"/>
        <v>359837.58550667111</v>
      </c>
      <c r="AL86">
        <f t="shared" si="56"/>
        <v>473663.76051388343</v>
      </c>
      <c r="AM86">
        <f t="shared" si="57"/>
        <v>514053.6935809587</v>
      </c>
      <c r="AO86">
        <v>82</v>
      </c>
      <c r="AP86">
        <f t="shared" si="58"/>
        <v>731862.2106983813</v>
      </c>
      <c r="AQ86">
        <f t="shared" si="59"/>
        <v>963369.64469480806</v>
      </c>
      <c r="AR86">
        <f t="shared" si="60"/>
        <v>1045517.4438548303</v>
      </c>
      <c r="AT86">
        <f t="shared" si="61"/>
        <v>760746.36375878495</v>
      </c>
      <c r="AU86" t="b">
        <f t="shared" si="62"/>
        <v>0</v>
      </c>
      <c r="AV86">
        <f t="shared" si="63"/>
        <v>1001390.6216824823</v>
      </c>
      <c r="AW86" t="b">
        <f t="shared" si="64"/>
        <v>0</v>
      </c>
      <c r="AX86">
        <f t="shared" si="65"/>
        <v>1086780.5196554069</v>
      </c>
      <c r="AY86" t="b">
        <f t="shared" si="66"/>
        <v>0</v>
      </c>
      <c r="BA86">
        <v>82</v>
      </c>
      <c r="BB86">
        <f t="shared" si="67"/>
        <v>5.2803825704476404E-4</v>
      </c>
      <c r="BC86">
        <f t="shared" si="68"/>
        <v>9.3431263689845311E-4</v>
      </c>
      <c r="BD86">
        <f t="shared" si="69"/>
        <v>7.4800698795623218E-4</v>
      </c>
      <c r="BG86">
        <v>81</v>
      </c>
      <c r="BH86">
        <f t="shared" si="73"/>
        <v>65408.689589652859</v>
      </c>
      <c r="BI86">
        <f t="shared" si="74"/>
        <v>86099.19343944102</v>
      </c>
      <c r="BJ86">
        <f t="shared" si="75"/>
        <v>93440.98512807551</v>
      </c>
      <c r="BL86">
        <v>81</v>
      </c>
      <c r="BM86">
        <f t="shared" si="76"/>
        <v>45832.122899198301</v>
      </c>
      <c r="BN86">
        <f t="shared" si="77"/>
        <v>60330.039326495731</v>
      </c>
      <c r="BO86">
        <f t="shared" si="78"/>
        <v>65474.461284568999</v>
      </c>
      <c r="BQ86">
        <v>81</v>
      </c>
      <c r="BR86">
        <f t="shared" si="79"/>
        <v>103521.47928948615</v>
      </c>
      <c r="BS86">
        <f t="shared" si="80"/>
        <v>136268.06967697668</v>
      </c>
      <c r="BT86">
        <f t="shared" si="81"/>
        <v>147887.82755640877</v>
      </c>
      <c r="BV86" t="b">
        <f t="shared" si="82"/>
        <v>0</v>
      </c>
      <c r="BW86" t="b">
        <f t="shared" si="83"/>
        <v>0</v>
      </c>
      <c r="BX86" t="b">
        <f t="shared" si="84"/>
        <v>0</v>
      </c>
      <c r="CB86">
        <v>4.3298199797833684E-2</v>
      </c>
      <c r="CC86">
        <v>81</v>
      </c>
      <c r="CD86">
        <v>8.8231051939848468E-3</v>
      </c>
      <c r="CG86">
        <v>2.4853390428456992E-2</v>
      </c>
      <c r="CH86">
        <v>8.4362261977650906E-3</v>
      </c>
      <c r="CK86">
        <v>3.3230020107308689E-2</v>
      </c>
      <c r="CL86">
        <v>6.7032703478657986E-3</v>
      </c>
      <c r="CP86">
        <v>81</v>
      </c>
      <c r="CQ86">
        <f t="shared" si="85"/>
        <v>290898.56663541449</v>
      </c>
      <c r="CR86">
        <f t="shared" si="86"/>
        <v>500029.42043405306</v>
      </c>
      <c r="CS86">
        <f t="shared" si="87"/>
        <v>540434.32917023986</v>
      </c>
      <c r="CT86">
        <f t="shared" si="88"/>
        <v>266000.17699733016</v>
      </c>
      <c r="CU86">
        <f t="shared" si="70"/>
        <v>426139.57727027527</v>
      </c>
      <c r="CV86">
        <f t="shared" si="71"/>
        <v>452737.69212294387</v>
      </c>
      <c r="CW86">
        <f t="shared" si="92"/>
        <v>514937.60871968488</v>
      </c>
      <c r="CX86">
        <f t="shared" si="93"/>
        <v>874209.01151653915</v>
      </c>
      <c r="CY86">
        <f t="shared" si="94"/>
        <v>944708.72602379543</v>
      </c>
      <c r="DB86" t="b">
        <f t="shared" si="89"/>
        <v>0</v>
      </c>
      <c r="DC86" t="b">
        <f t="shared" si="90"/>
        <v>0</v>
      </c>
      <c r="DD86" t="b">
        <f t="shared" si="91"/>
        <v>0</v>
      </c>
    </row>
    <row r="87" spans="1:108" x14ac:dyDescent="0.25">
      <c r="A87" s="1">
        <v>44620</v>
      </c>
      <c r="B87">
        <v>157.39999399999999</v>
      </c>
      <c r="C87">
        <v>167.949997</v>
      </c>
      <c r="D87">
        <v>157.39999399999999</v>
      </c>
      <c r="E87">
        <v>166.699997</v>
      </c>
      <c r="F87">
        <v>166.699997</v>
      </c>
      <c r="G87">
        <v>5368900</v>
      </c>
      <c r="H87">
        <f xml:space="preserve"> (ENPH[[#This Row],[Close]]-E86)/E86</f>
        <v>8.4368707067422263E-2</v>
      </c>
      <c r="K87" s="1">
        <v>44620</v>
      </c>
      <c r="L87">
        <v>285.64001500000001</v>
      </c>
      <c r="M87">
        <v>320.44500699999998</v>
      </c>
      <c r="N87">
        <v>283.540009</v>
      </c>
      <c r="O87">
        <v>319.42001299999998</v>
      </c>
      <c r="P87">
        <v>319.42001299999998</v>
      </c>
      <c r="Q87">
        <v>2341700</v>
      </c>
      <c r="R87">
        <f xml:space="preserve"> (SEDG4[[#This Row],[Close]]-O86)/O86</f>
        <v>0.14928226907845801</v>
      </c>
      <c r="V87">
        <f xml:space="preserve"> X87/(2*ENPH[[#This Row],[Close]])</f>
        <v>2429.9171431985806</v>
      </c>
      <c r="W87">
        <f xml:space="preserve"> X87/(2*SEDG4[[#This Row],[Close]])</f>
        <v>1268.1333792364851</v>
      </c>
      <c r="X87">
        <f t="shared" si="49"/>
        <v>810134.36096290394</v>
      </c>
      <c r="Y87">
        <f t="shared" si="72"/>
        <v>0.11951479198582809</v>
      </c>
      <c r="Z87">
        <f xml:space="preserve"> V87*ENPH[[#This Row],[Close]]</f>
        <v>405067.18048145191</v>
      </c>
      <c r="AA87">
        <f xml:space="preserve"> W87*SEDG4[[#This Row],[Close]]</f>
        <v>405067.18048145197</v>
      </c>
      <c r="AB87">
        <f t="shared" si="50"/>
        <v>810134.36096290383</v>
      </c>
      <c r="AC87" t="b">
        <f t="shared" si="51"/>
        <v>1</v>
      </c>
      <c r="AE87">
        <v>83</v>
      </c>
      <c r="AF87">
        <f t="shared" si="52"/>
        <v>403345.93613022607</v>
      </c>
      <c r="AG87">
        <f t="shared" si="53"/>
        <v>530934.95674284862</v>
      </c>
      <c r="AH87">
        <f t="shared" si="54"/>
        <v>576208.48018603725</v>
      </c>
      <c r="AJ87">
        <v>83</v>
      </c>
      <c r="AK87">
        <f t="shared" si="55"/>
        <v>362025.06818086439</v>
      </c>
      <c r="AL87">
        <f t="shared" si="56"/>
        <v>476543.20199317863</v>
      </c>
      <c r="AM87">
        <f t="shared" si="57"/>
        <v>517178.66882980621</v>
      </c>
      <c r="AO87">
        <v>83</v>
      </c>
      <c r="AP87">
        <f t="shared" si="58"/>
        <v>736311.26207678393</v>
      </c>
      <c r="AQ87">
        <f t="shared" si="59"/>
        <v>969226.04906025645</v>
      </c>
      <c r="AR87">
        <f t="shared" si="60"/>
        <v>1051873.2315382627</v>
      </c>
      <c r="AT87">
        <f t="shared" si="61"/>
        <v>765371.00431109045</v>
      </c>
      <c r="AU87" t="b">
        <f t="shared" si="62"/>
        <v>0</v>
      </c>
      <c r="AV87">
        <f t="shared" si="63"/>
        <v>1007478.1587360273</v>
      </c>
      <c r="AW87" t="b">
        <f t="shared" si="64"/>
        <v>0</v>
      </c>
      <c r="AX87">
        <f t="shared" si="65"/>
        <v>1093387.1490158434</v>
      </c>
      <c r="AY87" t="b">
        <f t="shared" si="66"/>
        <v>0</v>
      </c>
      <c r="BA87">
        <v>83</v>
      </c>
      <c r="BB87">
        <f t="shared" si="67"/>
        <v>1.3763911325696842E-4</v>
      </c>
      <c r="BC87">
        <f t="shared" si="68"/>
        <v>9.5959236134576201E-5</v>
      </c>
      <c r="BD87">
        <f t="shared" si="69"/>
        <v>1.1447237919025976E-4</v>
      </c>
      <c r="BG87">
        <v>82</v>
      </c>
      <c r="BH87">
        <f t="shared" si="73"/>
        <v>65811.208401687356</v>
      </c>
      <c r="BI87">
        <f t="shared" si="74"/>
        <v>86629.03963079254</v>
      </c>
      <c r="BJ87">
        <f t="shared" si="75"/>
        <v>94016.012002410498</v>
      </c>
      <c r="BL87">
        <v>82</v>
      </c>
      <c r="BM87">
        <f t="shared" si="76"/>
        <v>46114.169394520883</v>
      </c>
      <c r="BN87">
        <f t="shared" si="77"/>
        <v>60701.304611155036</v>
      </c>
      <c r="BO87">
        <f t="shared" si="78"/>
        <v>65877.384849315538</v>
      </c>
      <c r="BQ87">
        <v>82</v>
      </c>
      <c r="BR87">
        <f t="shared" si="79"/>
        <v>104158.54055955703</v>
      </c>
      <c r="BS87">
        <f t="shared" si="80"/>
        <v>137106.6503283965</v>
      </c>
      <c r="BT87">
        <f t="shared" si="81"/>
        <v>148797.91508508148</v>
      </c>
      <c r="BV87" t="b">
        <f t="shared" si="82"/>
        <v>0</v>
      </c>
      <c r="BW87" t="b">
        <f t="shared" si="83"/>
        <v>0</v>
      </c>
      <c r="BX87" t="b">
        <f t="shared" si="84"/>
        <v>0</v>
      </c>
      <c r="CB87">
        <v>8.4368707067422263E-2</v>
      </c>
      <c r="CC87">
        <v>82</v>
      </c>
      <c r="CD87">
        <v>9.3793920553458289E-3</v>
      </c>
      <c r="CG87">
        <v>0.14928226907845801</v>
      </c>
      <c r="CH87">
        <v>8.8851837513855333E-3</v>
      </c>
      <c r="CK87">
        <v>0.11951479198582809</v>
      </c>
      <c r="CL87">
        <v>7.4767362475295701E-3</v>
      </c>
      <c r="CP87">
        <v>82</v>
      </c>
      <c r="CQ87">
        <f t="shared" si="85"/>
        <v>292688.72855731216</v>
      </c>
      <c r="CR87">
        <f t="shared" si="86"/>
        <v>503106.55360333226</v>
      </c>
      <c r="CS87">
        <f t="shared" si="87"/>
        <v>543760.11027860607</v>
      </c>
      <c r="CT87">
        <f t="shared" si="88"/>
        <v>267637.1166137273</v>
      </c>
      <c r="CU87">
        <f t="shared" si="70"/>
        <v>428761.99942060135</v>
      </c>
      <c r="CV87">
        <f t="shared" si="71"/>
        <v>455523.79652497108</v>
      </c>
      <c r="CW87">
        <f t="shared" si="92"/>
        <v>518106.48545202834</v>
      </c>
      <c r="CX87">
        <f t="shared" si="93"/>
        <v>879588.81005696335</v>
      </c>
      <c r="CY87">
        <f t="shared" si="94"/>
        <v>950522.37305606785</v>
      </c>
      <c r="DB87" t="b">
        <f t="shared" si="89"/>
        <v>0</v>
      </c>
      <c r="DC87" t="b">
        <f t="shared" si="90"/>
        <v>0</v>
      </c>
      <c r="DD87" t="b">
        <f t="shared" si="91"/>
        <v>0</v>
      </c>
    </row>
    <row r="88" spans="1:108" x14ac:dyDescent="0.25">
      <c r="A88" s="1">
        <v>44621</v>
      </c>
      <c r="B88">
        <v>167.53999300000001</v>
      </c>
      <c r="C88">
        <v>172.86999499999999</v>
      </c>
      <c r="D88">
        <v>163.520004</v>
      </c>
      <c r="E88">
        <v>170.60000600000001</v>
      </c>
      <c r="F88">
        <v>170.60000600000001</v>
      </c>
      <c r="G88">
        <v>3539800</v>
      </c>
      <c r="H88">
        <f xml:space="preserve"> (ENPH[[#This Row],[Close]]-E87)/E87</f>
        <v>2.3395375346047617E-2</v>
      </c>
      <c r="K88" s="1">
        <v>44621</v>
      </c>
      <c r="L88">
        <v>315</v>
      </c>
      <c r="M88">
        <v>327.26001000000002</v>
      </c>
      <c r="N88">
        <v>308.51001000000002</v>
      </c>
      <c r="O88">
        <v>324.63000499999998</v>
      </c>
      <c r="P88">
        <v>324.63000499999998</v>
      </c>
      <c r="Q88">
        <v>1785400</v>
      </c>
      <c r="R88">
        <f xml:space="preserve"> (SEDG4[[#This Row],[Close]]-O87)/O87</f>
        <v>1.6310787639971701E-2</v>
      </c>
      <c r="V88">
        <f xml:space="preserve"> X88/(2*ENPH[[#This Row],[Close]])</f>
        <v>2420.5673720797959</v>
      </c>
      <c r="W88">
        <f xml:space="preserve"> X88/(2*SEDG4[[#This Row],[Close]])</f>
        <v>1272.0598892274836</v>
      </c>
      <c r="X88">
        <f t="shared" si="49"/>
        <v>825897.61640043487</v>
      </c>
      <c r="Y88">
        <f t="shared" si="72"/>
        <v>1.9457581602630884E-2</v>
      </c>
      <c r="Z88">
        <f xml:space="preserve"> V88*ENPH[[#This Row],[Close]]</f>
        <v>412948.80820021743</v>
      </c>
      <c r="AA88">
        <f xml:space="preserve"> W88*SEDG4[[#This Row],[Close]]</f>
        <v>412948.80820021743</v>
      </c>
      <c r="AB88">
        <f t="shared" si="50"/>
        <v>825897.61640043487</v>
      </c>
      <c r="AC88" t="b">
        <f t="shared" si="51"/>
        <v>1</v>
      </c>
      <c r="AE88">
        <v>84</v>
      </c>
      <c r="AF88">
        <f t="shared" si="52"/>
        <v>405768.45602625923</v>
      </c>
      <c r="AG88">
        <f t="shared" si="53"/>
        <v>534123.78395293304</v>
      </c>
      <c r="AH88">
        <f t="shared" si="54"/>
        <v>579669.22289465601</v>
      </c>
      <c r="AJ88">
        <v>84</v>
      </c>
      <c r="AK88">
        <f t="shared" si="55"/>
        <v>364199.41246444668</v>
      </c>
      <c r="AL88">
        <f t="shared" si="56"/>
        <v>479405.34906034305</v>
      </c>
      <c r="AM88">
        <f t="shared" si="57"/>
        <v>520284.87494920951</v>
      </c>
      <c r="AO88">
        <v>84</v>
      </c>
      <c r="AP88">
        <f t="shared" si="58"/>
        <v>740733.59170074819</v>
      </c>
      <c r="AQ88">
        <f t="shared" si="59"/>
        <v>975047.27887139306</v>
      </c>
      <c r="AR88">
        <f t="shared" si="60"/>
        <v>1058190.8452867831</v>
      </c>
      <c r="AT88">
        <f t="shared" si="61"/>
        <v>769967.86849070597</v>
      </c>
      <c r="AU88" t="b">
        <f t="shared" si="62"/>
        <v>0</v>
      </c>
      <c r="AV88">
        <f t="shared" si="63"/>
        <v>1013529.1330132762</v>
      </c>
      <c r="AW88" t="b">
        <f t="shared" si="64"/>
        <v>0</v>
      </c>
      <c r="AX88">
        <f t="shared" si="65"/>
        <v>1099954.0978438654</v>
      </c>
      <c r="AY88" t="b">
        <f t="shared" si="66"/>
        <v>0</v>
      </c>
      <c r="BA88">
        <v>84</v>
      </c>
      <c r="BB88">
        <f t="shared" si="67"/>
        <v>-2.1751220624473548E-4</v>
      </c>
      <c r="BC88">
        <f t="shared" si="68"/>
        <v>-1.7324974126490991E-4</v>
      </c>
      <c r="BD88">
        <f t="shared" si="69"/>
        <v>-1.9298594471141943E-4</v>
      </c>
      <c r="BG88">
        <v>83</v>
      </c>
      <c r="BH88">
        <f t="shared" si="73"/>
        <v>66211.280222822184</v>
      </c>
      <c r="BI88">
        <f t="shared" si="74"/>
        <v>87155.664783102664</v>
      </c>
      <c r="BJ88">
        <f t="shared" si="75"/>
        <v>94587.543175460247</v>
      </c>
      <c r="BL88">
        <v>83</v>
      </c>
      <c r="BM88">
        <f t="shared" si="76"/>
        <v>46394.501273813847</v>
      </c>
      <c r="BN88">
        <f t="shared" si="77"/>
        <v>61070.312901244761</v>
      </c>
      <c r="BO88">
        <f t="shared" si="78"/>
        <v>66277.858962591199</v>
      </c>
      <c r="BQ88">
        <v>83</v>
      </c>
      <c r="BR88">
        <f t="shared" si="79"/>
        <v>104791.72900906953</v>
      </c>
      <c r="BS88">
        <f t="shared" si="80"/>
        <v>137940.13308336705</v>
      </c>
      <c r="BT88">
        <f t="shared" si="81"/>
        <v>149702.47001295647</v>
      </c>
      <c r="BV88" t="b">
        <f t="shared" si="82"/>
        <v>0</v>
      </c>
      <c r="BW88" t="b">
        <f t="shared" si="83"/>
        <v>0</v>
      </c>
      <c r="BX88" t="b">
        <f t="shared" si="84"/>
        <v>0</v>
      </c>
      <c r="CB88">
        <v>2.3395375346047617E-2</v>
      </c>
      <c r="CC88">
        <v>83</v>
      </c>
      <c r="CD88">
        <v>1.29973570173275E-2</v>
      </c>
      <c r="CG88">
        <v>1.6310787639971701E-2</v>
      </c>
      <c r="CH88">
        <v>1.0352201842357894E-2</v>
      </c>
      <c r="CK88">
        <v>1.9457581602630884E-2</v>
      </c>
      <c r="CL88">
        <v>7.5159949092909861E-3</v>
      </c>
      <c r="CP88">
        <v>83</v>
      </c>
      <c r="CQ88">
        <f t="shared" si="85"/>
        <v>294468.00773335842</v>
      </c>
      <c r="CR88">
        <f t="shared" si="86"/>
        <v>506164.9802758288</v>
      </c>
      <c r="CS88">
        <f t="shared" si="87"/>
        <v>547065.67331054178</v>
      </c>
      <c r="CT88">
        <f t="shared" si="88"/>
        <v>269264.10495275591</v>
      </c>
      <c r="CU88">
        <f t="shared" si="70"/>
        <v>431368.4793517192</v>
      </c>
      <c r="CV88">
        <f t="shared" si="71"/>
        <v>458292.96365124016</v>
      </c>
      <c r="CW88">
        <f t="shared" si="92"/>
        <v>521256.09796045389</v>
      </c>
      <c r="CX88">
        <f t="shared" si="93"/>
        <v>884935.90374564705</v>
      </c>
      <c r="CY88">
        <f t="shared" si="94"/>
        <v>956300.67778642417</v>
      </c>
      <c r="DB88" t="b">
        <f t="shared" si="89"/>
        <v>0</v>
      </c>
      <c r="DC88" t="b">
        <f t="shared" si="90"/>
        <v>0</v>
      </c>
      <c r="DD88" t="b">
        <f t="shared" si="91"/>
        <v>0</v>
      </c>
    </row>
    <row r="89" spans="1:108" x14ac:dyDescent="0.25">
      <c r="A89" s="1">
        <v>44622</v>
      </c>
      <c r="B89">
        <v>169.88000500000001</v>
      </c>
      <c r="C89">
        <v>169.88000500000001</v>
      </c>
      <c r="D89">
        <v>159.529999</v>
      </c>
      <c r="E89">
        <v>163.88999899999999</v>
      </c>
      <c r="F89">
        <v>163.88999899999999</v>
      </c>
      <c r="G89">
        <v>3473300</v>
      </c>
      <c r="H89">
        <f xml:space="preserve"> (ENPH[[#This Row],[Close]]-E88)/E88</f>
        <v>-3.9331809871097065E-2</v>
      </c>
      <c r="K89" s="1">
        <v>44622</v>
      </c>
      <c r="L89">
        <v>321.70001200000002</v>
      </c>
      <c r="M89">
        <v>324.08999599999999</v>
      </c>
      <c r="N89">
        <v>306.41000400000001</v>
      </c>
      <c r="O89">
        <v>314.459991</v>
      </c>
      <c r="P89">
        <v>314.459991</v>
      </c>
      <c r="Q89">
        <v>1140600</v>
      </c>
      <c r="R89">
        <f xml:space="preserve"> (SEDG4[[#This Row],[Close]]-O88)/O88</f>
        <v>-3.1328016028586085E-2</v>
      </c>
      <c r="V89">
        <f xml:space="preserve"> X89/(2*ENPH[[#This Row],[Close]])</f>
        <v>2431.742060355828</v>
      </c>
      <c r="W89">
        <f xml:space="preserve"> X89/(2*SEDG4[[#This Row],[Close]])</f>
        <v>1267.3733233045045</v>
      </c>
      <c r="X89">
        <f t="shared" si="49"/>
        <v>797076.40767994919</v>
      </c>
      <c r="Y89">
        <f t="shared" si="72"/>
        <v>-3.489683000430379E-2</v>
      </c>
      <c r="Z89">
        <f xml:space="preserve"> V89*ENPH[[#This Row],[Close]]</f>
        <v>398538.20383997459</v>
      </c>
      <c r="AA89">
        <f xml:space="preserve"> W89*SEDG4[[#This Row],[Close]]</f>
        <v>398538.20383997459</v>
      </c>
      <c r="AB89">
        <f t="shared" si="50"/>
        <v>797076.40767994919</v>
      </c>
      <c r="AC89" t="b">
        <f t="shared" si="51"/>
        <v>1</v>
      </c>
      <c r="AE89">
        <v>85</v>
      </c>
      <c r="AF89">
        <f t="shared" si="52"/>
        <v>408176.59856868349</v>
      </c>
      <c r="AG89">
        <f t="shared" si="53"/>
        <v>537293.68587102217</v>
      </c>
      <c r="AH89">
        <f t="shared" si="54"/>
        <v>583109.42652669072</v>
      </c>
      <c r="AJ89">
        <v>85</v>
      </c>
      <c r="AK89">
        <f t="shared" si="55"/>
        <v>366360.8522857441</v>
      </c>
      <c r="AL89">
        <f t="shared" si="56"/>
        <v>482250.50964143866</v>
      </c>
      <c r="AM89">
        <f t="shared" si="57"/>
        <v>523372.64612249151</v>
      </c>
      <c r="AO89">
        <v>85</v>
      </c>
      <c r="AP89">
        <f t="shared" si="58"/>
        <v>745129.67534965021</v>
      </c>
      <c r="AQ89">
        <f t="shared" si="59"/>
        <v>980833.96040923346</v>
      </c>
      <c r="AR89">
        <f t="shared" si="60"/>
        <v>1064470.9647852145</v>
      </c>
      <c r="AT89">
        <f t="shared" si="61"/>
        <v>774537.45085442765</v>
      </c>
      <c r="AU89" t="b">
        <f t="shared" si="62"/>
        <v>0</v>
      </c>
      <c r="AV89">
        <f t="shared" si="63"/>
        <v>1019544.1955124608</v>
      </c>
      <c r="AW89" t="b">
        <f t="shared" si="64"/>
        <v>0</v>
      </c>
      <c r="AX89">
        <f t="shared" si="65"/>
        <v>1106482.0726491823</v>
      </c>
      <c r="AY89" t="b">
        <f t="shared" si="66"/>
        <v>0</v>
      </c>
      <c r="BA89">
        <v>85</v>
      </c>
      <c r="BB89">
        <f t="shared" si="67"/>
        <v>-1.5415278405630188E-4</v>
      </c>
      <c r="BC89">
        <f t="shared" si="68"/>
        <v>-2.0895303449974719E-4</v>
      </c>
      <c r="BD89">
        <f t="shared" si="69"/>
        <v>-1.8463042155238455E-4</v>
      </c>
      <c r="BG89">
        <v>84</v>
      </c>
      <c r="BH89">
        <f t="shared" si="73"/>
        <v>66608.949144989834</v>
      </c>
      <c r="BI89">
        <f t="shared" si="74"/>
        <v>87679.12693575192</v>
      </c>
      <c r="BJ89">
        <f t="shared" si="75"/>
        <v>95155.641635699751</v>
      </c>
      <c r="BL89">
        <v>84</v>
      </c>
      <c r="BM89">
        <f t="shared" si="76"/>
        <v>46673.149432465587</v>
      </c>
      <c r="BN89">
        <f t="shared" si="77"/>
        <v>61437.104865184294</v>
      </c>
      <c r="BO89">
        <f t="shared" si="78"/>
        <v>66675.927760665116</v>
      </c>
      <c r="BQ89">
        <v>84</v>
      </c>
      <c r="BR89">
        <f t="shared" si="79"/>
        <v>105421.11442174969</v>
      </c>
      <c r="BS89">
        <f t="shared" si="80"/>
        <v>138768.60980005827</v>
      </c>
      <c r="BT89">
        <f t="shared" si="81"/>
        <v>150601.59203107096</v>
      </c>
      <c r="BV89" t="b">
        <f t="shared" si="82"/>
        <v>0</v>
      </c>
      <c r="BW89" t="b">
        <f t="shared" si="83"/>
        <v>0</v>
      </c>
      <c r="BX89" t="b">
        <f t="shared" si="84"/>
        <v>0</v>
      </c>
      <c r="CB89">
        <v>-3.9331809871097065E-2</v>
      </c>
      <c r="CC89">
        <v>84</v>
      </c>
      <c r="CD89">
        <v>1.3704183264775207E-2</v>
      </c>
      <c r="CG89">
        <v>-3.1328016028586085E-2</v>
      </c>
      <c r="CH89">
        <v>1.0723476908472317E-2</v>
      </c>
      <c r="CK89">
        <v>-3.489683000430379E-2</v>
      </c>
      <c r="CL89">
        <v>7.9404316424635021E-3</v>
      </c>
      <c r="CP89">
        <v>84</v>
      </c>
      <c r="CQ89">
        <f t="shared" si="85"/>
        <v>296236.60025798716</v>
      </c>
      <c r="CR89">
        <f t="shared" si="86"/>
        <v>509205.03752087697</v>
      </c>
      <c r="CS89">
        <f t="shared" si="87"/>
        <v>550351.38257229002</v>
      </c>
      <c r="CT89">
        <f t="shared" si="88"/>
        <v>270881.32132487034</v>
      </c>
      <c r="CU89">
        <f t="shared" si="70"/>
        <v>433959.30432389322</v>
      </c>
      <c r="CV89">
        <f t="shared" si="71"/>
        <v>461045.49869177834</v>
      </c>
      <c r="CW89">
        <f t="shared" si="92"/>
        <v>524386.79336389073</v>
      </c>
      <c r="CX89">
        <f t="shared" si="93"/>
        <v>890250.88188601378</v>
      </c>
      <c r="CY89">
        <f t="shared" si="94"/>
        <v>962044.27704207564</v>
      </c>
      <c r="DB89" t="b">
        <f xml:space="preserve"> CQ89+CT89=CW89</f>
        <v>0</v>
      </c>
      <c r="DC89" t="b">
        <f t="shared" si="90"/>
        <v>0</v>
      </c>
      <c r="DD89" t="b">
        <f t="shared" si="91"/>
        <v>0</v>
      </c>
    </row>
    <row r="90" spans="1:108" x14ac:dyDescent="0.25">
      <c r="A90" s="1">
        <v>44623</v>
      </c>
      <c r="B90">
        <v>164.86000100000001</v>
      </c>
      <c r="C90">
        <v>165.729996</v>
      </c>
      <c r="D90">
        <v>157.21000699999999</v>
      </c>
      <c r="E90">
        <v>159.029999</v>
      </c>
      <c r="F90">
        <v>159.029999</v>
      </c>
      <c r="G90">
        <v>2329200</v>
      </c>
      <c r="H90">
        <f xml:space="preserve"> (ENPH[[#This Row],[Close]]-E89)/E89</f>
        <v>-2.9654036424760645E-2</v>
      </c>
      <c r="K90" s="1">
        <v>44623</v>
      </c>
      <c r="L90">
        <v>316</v>
      </c>
      <c r="M90">
        <v>317.5</v>
      </c>
      <c r="N90">
        <v>299</v>
      </c>
      <c r="O90">
        <v>301.82000699999998</v>
      </c>
      <c r="P90">
        <v>301.82000699999998</v>
      </c>
      <c r="Q90">
        <v>842400</v>
      </c>
      <c r="R90">
        <f xml:space="preserve"> (SEDG4[[#This Row],[Close]]-O89)/O89</f>
        <v>-4.0195841638881263E-2</v>
      </c>
      <c r="V90">
        <f xml:space="preserve"> X90/(2*ENPH[[#This Row],[Close]])</f>
        <v>2417.0492576760662</v>
      </c>
      <c r="W90">
        <f xml:space="preserve"> X90/(2*SEDG4[[#This Row],[Close]])</f>
        <v>1273.5515609181455</v>
      </c>
      <c r="X90">
        <f t="shared" si="49"/>
        <v>768766.68206235114</v>
      </c>
      <c r="Y90">
        <f t="shared" si="72"/>
        <v>-3.5516953387190547E-2</v>
      </c>
      <c r="Z90">
        <f xml:space="preserve"> V90*ENPH[[#This Row],[Close]]</f>
        <v>384383.34103117557</v>
      </c>
      <c r="AA90">
        <f xml:space="preserve"> W90*SEDG4[[#This Row],[Close]]</f>
        <v>384383.34103117557</v>
      </c>
      <c r="AB90">
        <f t="shared" si="50"/>
        <v>768766.68206235114</v>
      </c>
      <c r="AC90" t="b">
        <f t="shared" si="51"/>
        <v>1</v>
      </c>
      <c r="AE90">
        <v>86</v>
      </c>
      <c r="AF90">
        <f t="shared" si="52"/>
        <v>410570.61674243823</v>
      </c>
      <c r="AG90">
        <f t="shared" si="53"/>
        <v>540444.9955079034</v>
      </c>
      <c r="AH90">
        <f t="shared" si="54"/>
        <v>586529.45248919737</v>
      </c>
      <c r="AJ90">
        <v>86</v>
      </c>
      <c r="AK90">
        <f t="shared" si="55"/>
        <v>368509.61471259542</v>
      </c>
      <c r="AL90">
        <f t="shared" si="56"/>
        <v>485078.9826318858</v>
      </c>
      <c r="AM90">
        <f t="shared" si="57"/>
        <v>526442.30673227913</v>
      </c>
      <c r="AO90">
        <v>86</v>
      </c>
      <c r="AP90">
        <f t="shared" si="58"/>
        <v>749499.97484953888</v>
      </c>
      <c r="AQ90">
        <f t="shared" si="59"/>
        <v>986586.70158765849</v>
      </c>
      <c r="AR90">
        <f t="shared" si="60"/>
        <v>1070714.2497850556</v>
      </c>
      <c r="AT90">
        <f t="shared" si="61"/>
        <v>779080.23145503365</v>
      </c>
      <c r="AU90" t="b">
        <f t="shared" si="62"/>
        <v>0</v>
      </c>
      <c r="AV90">
        <f t="shared" si="63"/>
        <v>1025523.9781397892</v>
      </c>
      <c r="AW90" t="b">
        <f t="shared" si="64"/>
        <v>0</v>
      </c>
      <c r="AX90">
        <f t="shared" si="65"/>
        <v>1112971.7592214765</v>
      </c>
      <c r="AY90" t="b">
        <f t="shared" si="66"/>
        <v>0</v>
      </c>
      <c r="BA90">
        <v>86</v>
      </c>
      <c r="BB90">
        <f t="shared" si="67"/>
        <v>-2.7039676602086004E-5</v>
      </c>
      <c r="BC90">
        <f t="shared" si="68"/>
        <v>-1.3907220687393472E-4</v>
      </c>
      <c r="BD90">
        <f t="shared" si="69"/>
        <v>-8.9045278792893636E-5</v>
      </c>
      <c r="BG90">
        <v>85</v>
      </c>
      <c r="BH90">
        <f t="shared" si="73"/>
        <v>67004.257951674997</v>
      </c>
      <c r="BI90">
        <f t="shared" si="74"/>
        <v>88199.482405776274</v>
      </c>
      <c r="BJ90">
        <f t="shared" si="75"/>
        <v>95720.368502392841</v>
      </c>
      <c r="BL90">
        <v>85</v>
      </c>
      <c r="BM90">
        <f t="shared" si="76"/>
        <v>46950.143849030013</v>
      </c>
      <c r="BN90">
        <f t="shared" si="77"/>
        <v>61801.719964539509</v>
      </c>
      <c r="BO90">
        <f t="shared" si="78"/>
        <v>67071.63407004287</v>
      </c>
      <c r="BQ90">
        <v>85</v>
      </c>
      <c r="BR90">
        <f t="shared" si="79"/>
        <v>106046.76451046029</v>
      </c>
      <c r="BS90">
        <f t="shared" si="80"/>
        <v>139592.16961070793</v>
      </c>
      <c r="BT90">
        <f t="shared" si="81"/>
        <v>151495.3778720861</v>
      </c>
      <c r="BV90" t="b">
        <f t="shared" si="82"/>
        <v>0</v>
      </c>
      <c r="BW90" t="b">
        <f t="shared" si="83"/>
        <v>0</v>
      </c>
      <c r="BX90" t="b">
        <f t="shared" si="84"/>
        <v>0</v>
      </c>
      <c r="CB90">
        <v>-2.9654036424760645E-2</v>
      </c>
      <c r="CC90">
        <v>85</v>
      </c>
      <c r="CD90">
        <v>1.3780747819859855E-2</v>
      </c>
      <c r="CG90">
        <v>-4.0195841638881263E-2</v>
      </c>
      <c r="CH90">
        <v>1.1077673807116644E-2</v>
      </c>
      <c r="CK90">
        <v>-3.5516953387190547E-2</v>
      </c>
      <c r="CL90">
        <v>8.3502528467736467E-3</v>
      </c>
      <c r="CP90">
        <v>85</v>
      </c>
      <c r="CQ90">
        <f t="shared" si="85"/>
        <v>297994.69640644238</v>
      </c>
      <c r="CR90">
        <f t="shared" si="86"/>
        <v>512227.05240512762</v>
      </c>
      <c r="CS90">
        <f t="shared" si="87"/>
        <v>553617.59155914269</v>
      </c>
      <c r="CT90">
        <f t="shared" si="88"/>
        <v>272488.93971940689</v>
      </c>
      <c r="CU90">
        <f t="shared" si="70"/>
        <v>436534.75307281117</v>
      </c>
      <c r="CV90">
        <f t="shared" si="71"/>
        <v>463781.69777996233</v>
      </c>
      <c r="CW90">
        <f t="shared" si="92"/>
        <v>527498.90848035819</v>
      </c>
      <c r="CX90">
        <f t="shared" si="93"/>
        <v>895534.3162936446</v>
      </c>
      <c r="CY90">
        <f t="shared" si="94"/>
        <v>967753.7887521009</v>
      </c>
      <c r="DB90" t="b">
        <f t="shared" si="89"/>
        <v>0</v>
      </c>
      <c r="DC90" t="b">
        <f t="shared" si="90"/>
        <v>0</v>
      </c>
      <c r="DD90" t="b">
        <f t="shared" si="91"/>
        <v>0</v>
      </c>
    </row>
    <row r="91" spans="1:108" x14ac:dyDescent="0.25">
      <c r="A91" s="1">
        <v>44624</v>
      </c>
      <c r="B91">
        <v>159.820007</v>
      </c>
      <c r="C91">
        <v>164.25</v>
      </c>
      <c r="D91">
        <v>152.949997</v>
      </c>
      <c r="E91">
        <v>158.14999399999999</v>
      </c>
      <c r="F91">
        <v>158.14999399999999</v>
      </c>
      <c r="G91">
        <v>2512400</v>
      </c>
      <c r="H91">
        <f xml:space="preserve"> (ENPH[[#This Row],[Close]]-E90)/E90</f>
        <v>-5.5335786048770035E-3</v>
      </c>
      <c r="K91" s="1">
        <v>44624</v>
      </c>
      <c r="L91">
        <v>301.10000600000001</v>
      </c>
      <c r="M91">
        <v>312.27999899999998</v>
      </c>
      <c r="N91">
        <v>291.08999599999999</v>
      </c>
      <c r="O91">
        <v>293.23001099999999</v>
      </c>
      <c r="P91">
        <v>293.23001099999999</v>
      </c>
      <c r="Q91">
        <v>973600</v>
      </c>
      <c r="R91">
        <f xml:space="preserve"> (SEDG4[[#This Row],[Close]]-O90)/O90</f>
        <v>-2.8460658010653301E-2</v>
      </c>
      <c r="V91">
        <f xml:space="preserve"> X91/(2*ENPH[[#This Row],[Close]])</f>
        <v>2386.2080839538435</v>
      </c>
      <c r="W91">
        <f xml:space="preserve"> X91/(2*SEDG4[[#This Row],[Close]])</f>
        <v>1286.9719333061439</v>
      </c>
      <c r="X91">
        <f t="shared" si="49"/>
        <v>754757.58832010371</v>
      </c>
      <c r="Y91">
        <f t="shared" si="72"/>
        <v>-1.8222815932482393E-2</v>
      </c>
      <c r="Z91">
        <f xml:space="preserve"> V91*ENPH[[#This Row],[Close]]</f>
        <v>377378.7941600518</v>
      </c>
      <c r="AA91">
        <f xml:space="preserve"> W91*SEDG4[[#This Row],[Close]]</f>
        <v>377378.79416005185</v>
      </c>
      <c r="AB91">
        <f t="shared" si="50"/>
        <v>754757.58832010371</v>
      </c>
      <c r="AC91" t="b">
        <f t="shared" si="51"/>
        <v>1</v>
      </c>
      <c r="AE91">
        <v>87</v>
      </c>
      <c r="AF91">
        <f t="shared" si="52"/>
        <v>412950.7561991284</v>
      </c>
      <c r="AG91">
        <f t="shared" si="53"/>
        <v>543578.03622130165</v>
      </c>
      <c r="AH91">
        <f t="shared" si="54"/>
        <v>589929.65171304054</v>
      </c>
      <c r="AJ91">
        <v>87</v>
      </c>
      <c r="AK91">
        <f t="shared" si="55"/>
        <v>370645.92023076979</v>
      </c>
      <c r="AL91">
        <f t="shared" si="56"/>
        <v>487891.05826295208</v>
      </c>
      <c r="AM91">
        <f t="shared" si="57"/>
        <v>529494.17175824253</v>
      </c>
      <c r="AO91">
        <v>87</v>
      </c>
      <c r="AP91">
        <f t="shared" si="58"/>
        <v>753844.93863940216</v>
      </c>
      <c r="AQ91">
        <f t="shared" si="59"/>
        <v>992306.09269880492</v>
      </c>
      <c r="AR91">
        <f t="shared" si="60"/>
        <v>1076921.3409134317</v>
      </c>
      <c r="AT91">
        <f t="shared" si="61"/>
        <v>783596.67642989825</v>
      </c>
      <c r="AU91" t="b">
        <f t="shared" si="62"/>
        <v>0</v>
      </c>
      <c r="AV91">
        <f t="shared" si="63"/>
        <v>1031469.0944842538</v>
      </c>
      <c r="AW91" t="b">
        <f t="shared" si="64"/>
        <v>0</v>
      </c>
      <c r="AX91">
        <f t="shared" si="65"/>
        <v>1119423.8234712831</v>
      </c>
      <c r="AY91" t="b">
        <f t="shared" si="66"/>
        <v>0</v>
      </c>
      <c r="BA91">
        <v>87</v>
      </c>
      <c r="BB91">
        <f t="shared" si="67"/>
        <v>1.9169052685066361E-5</v>
      </c>
      <c r="BC91">
        <f t="shared" si="68"/>
        <v>7.2996348508767069E-5</v>
      </c>
      <c r="BD91">
        <f t="shared" si="69"/>
        <v>4.8649685658577957E-5</v>
      </c>
      <c r="BG91">
        <v>86</v>
      </c>
      <c r="BH91">
        <f t="shared" si="73"/>
        <v>67397.248171637999</v>
      </c>
      <c r="BI91">
        <f t="shared" si="74"/>
        <v>88716.785858584728</v>
      </c>
      <c r="BJ91">
        <f t="shared" si="75"/>
        <v>96281.783102340007</v>
      </c>
      <c r="BL91">
        <v>86</v>
      </c>
      <c r="BM91">
        <f t="shared" si="76"/>
        <v>47225.513622870843</v>
      </c>
      <c r="BN91">
        <f t="shared" si="77"/>
        <v>62164.196503574887</v>
      </c>
      <c r="BO91">
        <f t="shared" si="78"/>
        <v>67465.019461244054</v>
      </c>
      <c r="BQ91">
        <v>86</v>
      </c>
      <c r="BR91">
        <f t="shared" si="79"/>
        <v>106668.74500222826</v>
      </c>
      <c r="BS91">
        <f t="shared" si="80"/>
        <v>140410.89903354534</v>
      </c>
      <c r="BT91">
        <f t="shared" si="81"/>
        <v>152383.92143175463</v>
      </c>
      <c r="BV91" t="b">
        <f t="shared" si="82"/>
        <v>0</v>
      </c>
      <c r="BW91" t="b">
        <f t="shared" si="83"/>
        <v>0</v>
      </c>
      <c r="BX91" t="b">
        <f t="shared" si="84"/>
        <v>0</v>
      </c>
      <c r="CB91">
        <v>-5.5335786048770035E-3</v>
      </c>
      <c r="CC91">
        <v>86</v>
      </c>
      <c r="CD91">
        <v>1.4510475648059325E-2</v>
      </c>
      <c r="CG91">
        <v>-2.8460658010653301E-2</v>
      </c>
      <c r="CH91">
        <v>1.1374154523926658E-2</v>
      </c>
      <c r="CK91">
        <v>-1.8222815932482393E-2</v>
      </c>
      <c r="CL91">
        <v>8.4698243396225965E-3</v>
      </c>
      <c r="CP91">
        <v>86</v>
      </c>
      <c r="CQ91">
        <f t="shared" si="85"/>
        <v>299742.48087370774</v>
      </c>
      <c r="CR91">
        <f t="shared" si="86"/>
        <v>515231.34240324795</v>
      </c>
      <c r="CS91">
        <f t="shared" si="87"/>
        <v>556864.64339932776</v>
      </c>
      <c r="CT91">
        <f t="shared" si="88"/>
        <v>274087.12902306352</v>
      </c>
      <c r="CU91">
        <f t="shared" si="70"/>
        <v>439095.09615959396</v>
      </c>
      <c r="CV91">
        <f t="shared" si="71"/>
        <v>466501.84836437466</v>
      </c>
      <c r="CW91">
        <f t="shared" si="92"/>
        <v>530592.770249911</v>
      </c>
      <c r="CX91">
        <f t="shared" si="93"/>
        <v>900786.76201431046</v>
      </c>
      <c r="CY91">
        <f t="shared" si="94"/>
        <v>973429.81272338366</v>
      </c>
      <c r="DB91" t="b">
        <f t="shared" si="89"/>
        <v>0</v>
      </c>
      <c r="DC91" t="b">
        <f t="shared" si="90"/>
        <v>0</v>
      </c>
      <c r="DD91" t="b">
        <f t="shared" si="91"/>
        <v>0</v>
      </c>
    </row>
    <row r="92" spans="1:108" x14ac:dyDescent="0.25">
      <c r="A92" s="1">
        <v>44627</v>
      </c>
      <c r="B92">
        <v>162.699997</v>
      </c>
      <c r="C92">
        <v>168</v>
      </c>
      <c r="D92">
        <v>158.679993</v>
      </c>
      <c r="E92">
        <v>158.80999800000001</v>
      </c>
      <c r="F92">
        <v>158.80999800000001</v>
      </c>
      <c r="G92">
        <v>3294100</v>
      </c>
      <c r="H92">
        <f xml:space="preserve"> (ENPH[[#This Row],[Close]]-E91)/E91</f>
        <v>4.1732786913669748E-3</v>
      </c>
      <c r="K92" s="1">
        <v>44627</v>
      </c>
      <c r="L92">
        <v>303.33999599999999</v>
      </c>
      <c r="M92">
        <v>316.55499300000002</v>
      </c>
      <c r="N92">
        <v>297.07998700000002</v>
      </c>
      <c r="O92">
        <v>297.89001500000001</v>
      </c>
      <c r="P92">
        <v>297.89001500000001</v>
      </c>
      <c r="Q92">
        <v>1184400</v>
      </c>
      <c r="R92">
        <f xml:space="preserve"> (SEDG4[[#This Row],[Close]]-O91)/O91</f>
        <v>1.5891974986148381E-2</v>
      </c>
      <c r="V92">
        <f xml:space="preserve"> X92/(2*ENPH[[#This Row],[Close]])</f>
        <v>2401.4596062138494</v>
      </c>
      <c r="W92">
        <f xml:space="preserve"> X92/(2*SEDG4[[#This Row],[Close]])</f>
        <v>1280.2570615195084</v>
      </c>
      <c r="X92">
        <f t="shared" si="49"/>
        <v>762751.59051980451</v>
      </c>
      <c r="Y92">
        <f t="shared" si="72"/>
        <v>1.0591483044898421E-2</v>
      </c>
      <c r="Z92">
        <f xml:space="preserve"> V92*ENPH[[#This Row],[Close]]</f>
        <v>381375.79525990225</v>
      </c>
      <c r="AA92">
        <f xml:space="preserve"> W92*SEDG4[[#This Row],[Close]]</f>
        <v>381375.79525990231</v>
      </c>
      <c r="AB92">
        <f t="shared" si="50"/>
        <v>762751.59051980451</v>
      </c>
      <c r="AC92" t="b">
        <f t="shared" si="51"/>
        <v>1</v>
      </c>
      <c r="AE92">
        <v>88</v>
      </c>
      <c r="AF92">
        <f t="shared" si="52"/>
        <v>415317.25555122056</v>
      </c>
      <c r="AG92">
        <f t="shared" si="53"/>
        <v>546693.12210313731</v>
      </c>
      <c r="AH92">
        <f t="shared" si="54"/>
        <v>593310.36507317226</v>
      </c>
      <c r="AJ92">
        <v>88</v>
      </c>
      <c r="AK92">
        <f t="shared" si="55"/>
        <v>372769.98300802446</v>
      </c>
      <c r="AL92">
        <f t="shared" si="56"/>
        <v>490687.01844933839</v>
      </c>
      <c r="AM92">
        <f t="shared" si="57"/>
        <v>532528.54715432064</v>
      </c>
      <c r="AO92">
        <v>88</v>
      </c>
      <c r="AP92">
        <f t="shared" si="58"/>
        <v>758165.0023082234</v>
      </c>
      <c r="AQ92">
        <f t="shared" si="59"/>
        <v>997992.70712000842</v>
      </c>
      <c r="AR92">
        <f t="shared" si="60"/>
        <v>1083092.8604403192</v>
      </c>
      <c r="AT92">
        <f t="shared" si="61"/>
        <v>788087.23855924502</v>
      </c>
      <c r="AU92" t="b">
        <f t="shared" si="62"/>
        <v>0</v>
      </c>
      <c r="AV92">
        <f t="shared" si="63"/>
        <v>1037380.1405524757</v>
      </c>
      <c r="AW92" t="b">
        <f t="shared" si="64"/>
        <v>0</v>
      </c>
      <c r="AX92">
        <f t="shared" si="65"/>
        <v>1125838.9122274928</v>
      </c>
      <c r="AY92" t="b">
        <f t="shared" si="66"/>
        <v>0</v>
      </c>
      <c r="BA92">
        <v>88</v>
      </c>
      <c r="BB92">
        <f t="shared" si="67"/>
        <v>4.6708574467220086E-4</v>
      </c>
      <c r="BC92">
        <f t="shared" si="68"/>
        <v>4.4961087781380583E-4</v>
      </c>
      <c r="BD92">
        <f t="shared" si="69"/>
        <v>4.5746474913882517E-4</v>
      </c>
      <c r="BG92">
        <v>87</v>
      </c>
      <c r="BH92">
        <f t="shared" si="73"/>
        <v>67787.960129835177</v>
      </c>
      <c r="BI92">
        <f t="shared" si="74"/>
        <v>89231.090374987121</v>
      </c>
      <c r="BJ92">
        <f t="shared" si="75"/>
        <v>96839.943042621671</v>
      </c>
      <c r="BL92">
        <v>87</v>
      </c>
      <c r="BM92">
        <f t="shared" si="76"/>
        <v>47499.28700984161</v>
      </c>
      <c r="BN92">
        <f t="shared" si="77"/>
        <v>62524.571676220083</v>
      </c>
      <c r="BO92">
        <f t="shared" si="78"/>
        <v>67856.124299773728</v>
      </c>
      <c r="BQ92">
        <v>87</v>
      </c>
      <c r="BR92">
        <f t="shared" si="79"/>
        <v>107287.11971883565</v>
      </c>
      <c r="BS92">
        <f t="shared" si="80"/>
        <v>141224.8820788755</v>
      </c>
      <c r="BT92">
        <f t="shared" si="81"/>
        <v>153267.31388405093</v>
      </c>
      <c r="BV92" t="b">
        <f t="shared" si="82"/>
        <v>0</v>
      </c>
      <c r="BW92" t="b">
        <f t="shared" si="83"/>
        <v>0</v>
      </c>
      <c r="BX92" t="b">
        <f t="shared" si="84"/>
        <v>0</v>
      </c>
      <c r="CB92">
        <v>4.1732786913669748E-3</v>
      </c>
      <c r="CC92">
        <v>87</v>
      </c>
      <c r="CD92">
        <v>1.5636826792017475E-2</v>
      </c>
      <c r="CG92">
        <v>1.5891974986148381E-2</v>
      </c>
      <c r="CH92">
        <v>1.1612013956734165E-2</v>
      </c>
      <c r="CK92">
        <v>1.0591483044898421E-2</v>
      </c>
      <c r="CL92">
        <v>1.0229487514488303E-2</v>
      </c>
      <c r="CP92">
        <v>87</v>
      </c>
      <c r="CQ92">
        <f t="shared" si="85"/>
        <v>301480.1330009696</v>
      </c>
      <c r="CR92">
        <f t="shared" si="86"/>
        <v>518218.21578719188</v>
      </c>
      <c r="CS92">
        <f t="shared" si="87"/>
        <v>560092.87127473345</v>
      </c>
      <c r="CT92">
        <f t="shared" si="88"/>
        <v>275676.05322697939</v>
      </c>
      <c r="CU92">
        <f t="shared" si="70"/>
        <v>441640.59630254318</v>
      </c>
      <c r="CV92">
        <f t="shared" si="71"/>
        <v>469206.22956125776</v>
      </c>
      <c r="CW92">
        <f t="shared" si="92"/>
        <v>533668.69613551477</v>
      </c>
      <c r="CX92">
        <f t="shared" si="93"/>
        <v>906008.75800453848</v>
      </c>
      <c r="CY92">
        <f t="shared" si="94"/>
        <v>979072.93137606338</v>
      </c>
      <c r="DB92" t="b">
        <f t="shared" si="89"/>
        <v>0</v>
      </c>
      <c r="DC92" t="b">
        <f t="shared" si="90"/>
        <v>0</v>
      </c>
      <c r="DD92" t="b">
        <f t="shared" si="91"/>
        <v>0</v>
      </c>
    </row>
    <row r="93" spans="1:108" x14ac:dyDescent="0.25">
      <c r="A93" s="1">
        <v>44628</v>
      </c>
      <c r="B93">
        <v>160</v>
      </c>
      <c r="C93">
        <v>182.64999399999999</v>
      </c>
      <c r="D93">
        <v>158.949997</v>
      </c>
      <c r="E93">
        <v>175.990005</v>
      </c>
      <c r="F93">
        <v>175.990005</v>
      </c>
      <c r="G93">
        <v>6830000</v>
      </c>
      <c r="H93">
        <f xml:space="preserve"> (ENPH[[#This Row],[Close]]-E92)/E92</f>
        <v>0.10817963110861564</v>
      </c>
      <c r="K93" s="1">
        <v>44628</v>
      </c>
      <c r="L93">
        <v>303.64001500000001</v>
      </c>
      <c r="M93">
        <v>335.17999300000002</v>
      </c>
      <c r="N93">
        <v>301.20001200000002</v>
      </c>
      <c r="O93">
        <v>328.91000400000001</v>
      </c>
      <c r="P93">
        <v>328.91000400000001</v>
      </c>
      <c r="Q93">
        <v>2398400</v>
      </c>
      <c r="R93">
        <f xml:space="preserve"> (SEDG4[[#This Row],[Close]]-O92)/O92</f>
        <v>0.10413235569510448</v>
      </c>
      <c r="V93">
        <f xml:space="preserve"> X93/(2*ENPH[[#This Row],[Close]])</f>
        <v>2396.6308640221341</v>
      </c>
      <c r="W93">
        <f xml:space="preserve"> X93/(2*SEDG4[[#This Row],[Close]])</f>
        <v>1282.3662175456652</v>
      </c>
      <c r="X93">
        <f t="shared" si="49"/>
        <v>843566.15548481932</v>
      </c>
      <c r="Y93">
        <f t="shared" si="72"/>
        <v>0.10595135555199671</v>
      </c>
      <c r="Z93">
        <f xml:space="preserve"> V93*ENPH[[#This Row],[Close]]</f>
        <v>421783.07774240972</v>
      </c>
      <c r="AA93">
        <f xml:space="preserve"> W93*SEDG4[[#This Row],[Close]]</f>
        <v>421783.07774240966</v>
      </c>
      <c r="AB93">
        <f t="shared" si="50"/>
        <v>843566.15548481932</v>
      </c>
      <c r="AC93" t="b">
        <f t="shared" si="51"/>
        <v>1</v>
      </c>
      <c r="AE93">
        <v>89</v>
      </c>
      <c r="AF93">
        <f t="shared" si="52"/>
        <v>417670.34665123606</v>
      </c>
      <c r="AG93">
        <f t="shared" si="53"/>
        <v>549790.55834703532</v>
      </c>
      <c r="AH93">
        <f t="shared" si="54"/>
        <v>596671.9237874801</v>
      </c>
      <c r="AJ93">
        <v>89</v>
      </c>
      <c r="AK93">
        <f t="shared" si="55"/>
        <v>374882.01114469534</v>
      </c>
      <c r="AL93">
        <f t="shared" si="56"/>
        <v>493467.1371190378</v>
      </c>
      <c r="AM93">
        <f t="shared" si="57"/>
        <v>535545.73020670761</v>
      </c>
      <c r="AO93">
        <v>89</v>
      </c>
      <c r="AP93">
        <f t="shared" si="58"/>
        <v>762460.58910465182</v>
      </c>
      <c r="AQ93">
        <f t="shared" si="59"/>
        <v>1003647.1019846948</v>
      </c>
      <c r="AR93">
        <f t="shared" si="60"/>
        <v>1089229.4130066454</v>
      </c>
      <c r="AT93">
        <f t="shared" si="61"/>
        <v>792552.3577959314</v>
      </c>
      <c r="AU93" t="b">
        <f t="shared" si="62"/>
        <v>0</v>
      </c>
      <c r="AV93">
        <f t="shared" si="63"/>
        <v>1043257.6954660731</v>
      </c>
      <c r="AW93" t="b">
        <f t="shared" si="64"/>
        <v>0</v>
      </c>
      <c r="AX93">
        <f t="shared" si="65"/>
        <v>1132217.6539941877</v>
      </c>
      <c r="AY93" t="b">
        <f t="shared" si="66"/>
        <v>0</v>
      </c>
      <c r="BA93">
        <v>89</v>
      </c>
      <c r="BB93">
        <f t="shared" si="67"/>
        <v>8.9479092954069994E-5</v>
      </c>
      <c r="BC93">
        <f t="shared" si="68"/>
        <v>-2.3815385794133227E-5</v>
      </c>
      <c r="BD93">
        <f t="shared" si="69"/>
        <v>2.7206063384396795E-5</v>
      </c>
      <c r="BG93">
        <v>88</v>
      </c>
      <c r="BH93">
        <f t="shared" si="73"/>
        <v>68176.432995712545</v>
      </c>
      <c r="BI93">
        <f t="shared" si="74"/>
        <v>89742.447514764484</v>
      </c>
      <c r="BJ93">
        <f t="shared" si="75"/>
        <v>97394.904279589347</v>
      </c>
      <c r="BL93">
        <v>88</v>
      </c>
      <c r="BM93">
        <f t="shared" si="76"/>
        <v>47771.491456125339</v>
      </c>
      <c r="BN93">
        <f t="shared" si="77"/>
        <v>62882.881610613971</v>
      </c>
      <c r="BO93">
        <f t="shared" si="78"/>
        <v>68244.987794464774</v>
      </c>
      <c r="BQ93">
        <v>88</v>
      </c>
      <c r="BR93">
        <f t="shared" si="79"/>
        <v>107901.95065325347</v>
      </c>
      <c r="BS93">
        <f t="shared" si="80"/>
        <v>142034.2003496908</v>
      </c>
      <c r="BT93">
        <f t="shared" si="81"/>
        <v>154145.64379036211</v>
      </c>
      <c r="BV93" t="b">
        <f t="shared" si="82"/>
        <v>0</v>
      </c>
      <c r="BW93" t="b">
        <f t="shared" si="83"/>
        <v>0</v>
      </c>
      <c r="BX93" t="b">
        <f t="shared" si="84"/>
        <v>0</v>
      </c>
      <c r="CB93">
        <v>0.10817963110861564</v>
      </c>
      <c r="CC93">
        <v>88</v>
      </c>
      <c r="CD93">
        <v>1.5661685657708483E-2</v>
      </c>
      <c r="CG93">
        <v>0.10413235569510448</v>
      </c>
      <c r="CH93">
        <v>1.2482662968099861E-2</v>
      </c>
      <c r="CK93">
        <v>0.10595135555199671</v>
      </c>
      <c r="CL93">
        <v>1.0591483044898421E-2</v>
      </c>
      <c r="CP93">
        <v>88</v>
      </c>
      <c r="CQ93">
        <f t="shared" si="85"/>
        <v>303207.82699039875</v>
      </c>
      <c r="CR93">
        <f t="shared" si="86"/>
        <v>521187.97199539066</v>
      </c>
      <c r="CS93">
        <f t="shared" si="87"/>
        <v>563302.59881993243</v>
      </c>
      <c r="CT93">
        <f t="shared" si="88"/>
        <v>277255.87162313313</v>
      </c>
      <c r="CU93">
        <f t="shared" si="70"/>
        <v>444171.50869177631</v>
      </c>
      <c r="CV93">
        <f t="shared" si="71"/>
        <v>471895.1124887875</v>
      </c>
      <c r="CW93">
        <f t="shared" si="92"/>
        <v>536726.99450324452</v>
      </c>
      <c r="CX93">
        <f t="shared" si="93"/>
        <v>911200.827777075</v>
      </c>
      <c r="CY93">
        <f t="shared" si="94"/>
        <v>984683.71044105</v>
      </c>
      <c r="DB93" t="b">
        <f t="shared" si="89"/>
        <v>0</v>
      </c>
      <c r="DC93" t="b">
        <f t="shared" si="90"/>
        <v>0</v>
      </c>
      <c r="DD93" t="b">
        <f t="shared" si="91"/>
        <v>0</v>
      </c>
    </row>
    <row r="94" spans="1:108" x14ac:dyDescent="0.25">
      <c r="A94" s="1">
        <v>44629</v>
      </c>
      <c r="B94">
        <v>173.050003</v>
      </c>
      <c r="C94">
        <v>182</v>
      </c>
      <c r="D94">
        <v>167.10000600000001</v>
      </c>
      <c r="E94">
        <v>179.86999499999999</v>
      </c>
      <c r="F94">
        <v>179.86999499999999</v>
      </c>
      <c r="G94">
        <v>4552000</v>
      </c>
      <c r="H94">
        <f xml:space="preserve"> (ENPH[[#This Row],[Close]]-E93)/E93</f>
        <v>2.204664975150147E-2</v>
      </c>
      <c r="K94" s="1">
        <v>44629</v>
      </c>
      <c r="L94">
        <v>321.20001200000002</v>
      </c>
      <c r="M94">
        <v>335.57000699999998</v>
      </c>
      <c r="N94">
        <v>310.165009</v>
      </c>
      <c r="O94">
        <v>326.98001099999999</v>
      </c>
      <c r="P94">
        <v>326.98001099999999</v>
      </c>
      <c r="Q94">
        <v>1322900</v>
      </c>
      <c r="R94">
        <f xml:space="preserve"> (SEDG4[[#This Row],[Close]]-O93)/O93</f>
        <v>-5.8678452358658702E-3</v>
      </c>
      <c r="V94">
        <f xml:space="preserve"> X94/(2*ENPH[[#This Row],[Close]])</f>
        <v>2360.651668115474</v>
      </c>
      <c r="W94">
        <f xml:space="preserve"> X94/(2*SEDG4[[#This Row],[Close]])</f>
        <v>1298.5821440340949</v>
      </c>
      <c r="X94">
        <f t="shared" si="49"/>
        <v>849220.80748134386</v>
      </c>
      <c r="Y94">
        <f t="shared" si="72"/>
        <v>6.7032703478657986E-3</v>
      </c>
      <c r="Z94">
        <f xml:space="preserve"> V94*ENPH[[#This Row],[Close]]</f>
        <v>424610.40374067193</v>
      </c>
      <c r="AA94">
        <f xml:space="preserve"> W94*SEDG4[[#This Row],[Close]]</f>
        <v>424610.40374067193</v>
      </c>
      <c r="AB94">
        <f t="shared" si="50"/>
        <v>849220.80748134386</v>
      </c>
      <c r="AC94" t="b">
        <f t="shared" si="51"/>
        <v>1</v>
      </c>
      <c r="AE94">
        <v>90</v>
      </c>
      <c r="AF94">
        <f t="shared" si="52"/>
        <v>420010.25485686614</v>
      </c>
      <c r="AG94">
        <f t="shared" si="53"/>
        <v>552870.64159730345</v>
      </c>
      <c r="AH94">
        <f t="shared" si="54"/>
        <v>600014.64979552303</v>
      </c>
      <c r="AJ94">
        <v>90</v>
      </c>
      <c r="AK94">
        <f t="shared" si="55"/>
        <v>376982.20691165276</v>
      </c>
      <c r="AL94">
        <f t="shared" si="56"/>
        <v>496231.68052656332</v>
      </c>
      <c r="AM94">
        <f t="shared" si="57"/>
        <v>538546.00987378962</v>
      </c>
      <c r="AO94">
        <v>90</v>
      </c>
      <c r="AP94">
        <f t="shared" si="58"/>
        <v>766732.11042097176</v>
      </c>
      <c r="AQ94">
        <f t="shared" si="59"/>
        <v>1009269.8188194424</v>
      </c>
      <c r="AR94">
        <f t="shared" si="60"/>
        <v>1095331.5863156738</v>
      </c>
      <c r="AT94">
        <f t="shared" si="61"/>
        <v>796992.4617685189</v>
      </c>
      <c r="AU94" t="b">
        <f t="shared" si="62"/>
        <v>0</v>
      </c>
      <c r="AV94">
        <f t="shared" si="63"/>
        <v>1049102.3221238668</v>
      </c>
      <c r="AW94" t="b">
        <f t="shared" si="64"/>
        <v>0</v>
      </c>
      <c r="AX94">
        <f t="shared" si="65"/>
        <v>1138560.6596693126</v>
      </c>
      <c r="AY94" t="b">
        <f t="shared" si="66"/>
        <v>0</v>
      </c>
      <c r="BA94">
        <v>90</v>
      </c>
      <c r="BB94">
        <f t="shared" si="67"/>
        <v>-2.4391790197472134E-5</v>
      </c>
      <c r="BC94">
        <f t="shared" si="68"/>
        <v>-1.3826243148122656E-4</v>
      </c>
      <c r="BD94">
        <f t="shared" si="69"/>
        <v>-8.619992771152741E-5</v>
      </c>
      <c r="BG94">
        <v>89</v>
      </c>
      <c r="BH94">
        <f t="shared" si="73"/>
        <v>68562.704829036913</v>
      </c>
      <c r="BI94">
        <f t="shared" si="74"/>
        <v>90250.90737699758</v>
      </c>
      <c r="BJ94">
        <f t="shared" si="75"/>
        <v>97946.721184338443</v>
      </c>
      <c r="BL94">
        <v>89</v>
      </c>
      <c r="BM94">
        <f t="shared" si="76"/>
        <v>48042.153630348468</v>
      </c>
      <c r="BN94">
        <f t="shared" si="77"/>
        <v>63239.16141137707</v>
      </c>
      <c r="BO94">
        <f t="shared" si="78"/>
        <v>68631.648043354944</v>
      </c>
      <c r="BQ94">
        <v>89</v>
      </c>
      <c r="BR94">
        <f t="shared" si="79"/>
        <v>108513.29804217788</v>
      </c>
      <c r="BS94">
        <f t="shared" si="80"/>
        <v>142838.93313715252</v>
      </c>
      <c r="BT94">
        <f t="shared" si="81"/>
        <v>155018.99720311124</v>
      </c>
      <c r="BV94" t="b">
        <f t="shared" si="82"/>
        <v>0</v>
      </c>
      <c r="BW94" t="b">
        <f t="shared" si="83"/>
        <v>0</v>
      </c>
      <c r="BX94" t="b">
        <f t="shared" si="84"/>
        <v>0</v>
      </c>
      <c r="CB94">
        <v>2.204664975150147E-2</v>
      </c>
      <c r="CC94">
        <v>89</v>
      </c>
      <c r="CD94">
        <v>1.6505388426568554E-2</v>
      </c>
      <c r="CG94">
        <v>-5.8678452358658702E-3</v>
      </c>
      <c r="CH94">
        <v>1.4516806889232053E-2</v>
      </c>
      <c r="CK94">
        <v>6.7032703478657986E-3</v>
      </c>
      <c r="CL94">
        <v>1.0696835800220187E-2</v>
      </c>
      <c r="CP94">
        <v>89</v>
      </c>
      <c r="CQ94">
        <f t="shared" si="85"/>
        <v>304925.73210897902</v>
      </c>
      <c r="CR94">
        <f t="shared" si="86"/>
        <v>524140.90198311722</v>
      </c>
      <c r="CS94">
        <f t="shared" si="87"/>
        <v>566494.14050085668</v>
      </c>
      <c r="CT94">
        <f t="shared" si="88"/>
        <v>278826.73899072548</v>
      </c>
      <c r="CU94">
        <f t="shared" si="70"/>
        <v>446688.0812878171</v>
      </c>
      <c r="CV94">
        <f t="shared" si="71"/>
        <v>474568.76058430044</v>
      </c>
      <c r="CW94">
        <f t="shared" si="92"/>
        <v>539767.96498309472</v>
      </c>
      <c r="CX94">
        <f t="shared" si="93"/>
        <v>916363.48001343152</v>
      </c>
      <c r="CY94">
        <f t="shared" si="94"/>
        <v>990262.69962196855</v>
      </c>
      <c r="DB94" t="b">
        <f t="shared" si="89"/>
        <v>0</v>
      </c>
      <c r="DC94" t="b">
        <f t="shared" si="90"/>
        <v>0</v>
      </c>
      <c r="DD94" t="b">
        <f t="shared" si="91"/>
        <v>0</v>
      </c>
    </row>
    <row r="95" spans="1:108" x14ac:dyDescent="0.25">
      <c r="A95" s="1">
        <v>44630</v>
      </c>
      <c r="B95">
        <v>178.94000199999999</v>
      </c>
      <c r="C95">
        <v>180.39999399999999</v>
      </c>
      <c r="D95">
        <v>169.199997</v>
      </c>
      <c r="E95">
        <v>178.720001</v>
      </c>
      <c r="F95">
        <v>178.720001</v>
      </c>
      <c r="G95">
        <v>3117800</v>
      </c>
      <c r="H95">
        <f xml:space="preserve"> (ENPH[[#This Row],[Close]]-E94)/E94</f>
        <v>-6.3934732416042628E-3</v>
      </c>
      <c r="K95" s="1">
        <v>44630</v>
      </c>
      <c r="L95">
        <v>324.09500100000002</v>
      </c>
      <c r="M95">
        <v>325.14001500000001</v>
      </c>
      <c r="N95">
        <v>302.31500199999999</v>
      </c>
      <c r="O95">
        <v>315.13000499999998</v>
      </c>
      <c r="P95">
        <v>315.13000499999998</v>
      </c>
      <c r="Q95">
        <v>1455200</v>
      </c>
      <c r="R95">
        <f xml:space="preserve"> (SEDG4[[#This Row],[Close]]-O94)/O94</f>
        <v>-3.6240765800206694E-2</v>
      </c>
      <c r="V95">
        <f xml:space="preserve"> X95/(2*ENPH[[#This Row],[Close]])</f>
        <v>2322.1609241106808</v>
      </c>
      <c r="W95">
        <f xml:space="preserve"> X95/(2*SEDG4[[#This Row],[Close]])</f>
        <v>1316.9694922551782</v>
      </c>
      <c r="X95">
        <f t="shared" si="49"/>
        <v>830033.20535844355</v>
      </c>
      <c r="Y95">
        <f t="shared" si="72"/>
        <v>-2.2594361741803921E-2</v>
      </c>
      <c r="Z95">
        <f xml:space="preserve"> V95*ENPH[[#This Row],[Close]]</f>
        <v>415016.60267922177</v>
      </c>
      <c r="AA95">
        <f xml:space="preserve"> W95*SEDG4[[#This Row],[Close]]</f>
        <v>415016.60267922177</v>
      </c>
      <c r="AB95">
        <f t="shared" si="50"/>
        <v>830033.20535844355</v>
      </c>
      <c r="AC95" t="b">
        <f t="shared" si="51"/>
        <v>1</v>
      </c>
      <c r="AE95">
        <v>91</v>
      </c>
      <c r="AF95">
        <f t="shared" si="52"/>
        <v>422337.19928286626</v>
      </c>
      <c r="AG95">
        <f t="shared" si="53"/>
        <v>555933.66028050764</v>
      </c>
      <c r="AH95">
        <f t="shared" si="54"/>
        <v>603338.85611838032</v>
      </c>
      <c r="AJ95">
        <v>91</v>
      </c>
      <c r="AK95">
        <f t="shared" si="55"/>
        <v>379070.76697639032</v>
      </c>
      <c r="AL95">
        <f t="shared" si="56"/>
        <v>498980.90755055466</v>
      </c>
      <c r="AM95">
        <f t="shared" si="57"/>
        <v>541529.66710912902</v>
      </c>
      <c r="AO95">
        <v>91</v>
      </c>
      <c r="AP95">
        <f t="shared" si="58"/>
        <v>770979.96625293803</v>
      </c>
      <c r="AQ95">
        <f t="shared" si="59"/>
        <v>1014861.3841492756</v>
      </c>
      <c r="AR95">
        <f t="shared" si="60"/>
        <v>1101399.9517899114</v>
      </c>
      <c r="AT95">
        <f t="shared" si="61"/>
        <v>801407.96625925659</v>
      </c>
      <c r="AU95" t="b">
        <f t="shared" si="62"/>
        <v>0</v>
      </c>
      <c r="AV95">
        <f t="shared" si="63"/>
        <v>1054914.5678310622</v>
      </c>
      <c r="AW95" t="b">
        <f t="shared" si="64"/>
        <v>0</v>
      </c>
      <c r="AX95">
        <f t="shared" si="65"/>
        <v>1144868.5232275093</v>
      </c>
      <c r="AY95" t="b">
        <f t="shared" si="66"/>
        <v>0</v>
      </c>
      <c r="BA95">
        <v>91</v>
      </c>
      <c r="BB95">
        <f t="shared" si="67"/>
        <v>-1.5350503107552951E-4</v>
      </c>
      <c r="BC95">
        <f t="shared" si="68"/>
        <v>3.1864058541500822E-5</v>
      </c>
      <c r="BD95">
        <f t="shared" si="69"/>
        <v>-5.4292867671856857E-5</v>
      </c>
      <c r="BG95">
        <v>90</v>
      </c>
      <c r="BH95">
        <f t="shared" si="73"/>
        <v>68946.812623415753</v>
      </c>
      <c r="BI95">
        <f t="shared" si="74"/>
        <v>90756.518657353401</v>
      </c>
      <c r="BJ95">
        <f t="shared" si="75"/>
        <v>98495.446604879646</v>
      </c>
      <c r="BL95">
        <v>90</v>
      </c>
      <c r="BM95">
        <f t="shared" si="76"/>
        <v>48311.299454075473</v>
      </c>
      <c r="BN95">
        <f t="shared" si="77"/>
        <v>63593.445199752408</v>
      </c>
      <c r="BO95">
        <f t="shared" si="78"/>
        <v>69016.142077250668</v>
      </c>
      <c r="BQ95">
        <v>90</v>
      </c>
      <c r="BR95">
        <f t="shared" si="79"/>
        <v>109121.22043490854</v>
      </c>
      <c r="BS95">
        <f t="shared" si="80"/>
        <v>143639.15751125716</v>
      </c>
      <c r="BT95">
        <f t="shared" si="81"/>
        <v>155887.45776415503</v>
      </c>
      <c r="BV95" t="b">
        <f t="shared" si="82"/>
        <v>0</v>
      </c>
      <c r="BW95" t="b">
        <f t="shared" si="83"/>
        <v>0</v>
      </c>
      <c r="BX95" t="b">
        <f t="shared" si="84"/>
        <v>0</v>
      </c>
      <c r="CB95">
        <v>-6.3934732416042628E-3</v>
      </c>
      <c r="CC95">
        <v>90</v>
      </c>
      <c r="CD95">
        <v>1.836329740518965E-2</v>
      </c>
      <c r="CG95">
        <v>-3.6240765800206694E-2</v>
      </c>
      <c r="CH95">
        <v>1.5501355418241301E-2</v>
      </c>
      <c r="CK95">
        <v>-2.2594361741803921E-2</v>
      </c>
      <c r="CL95">
        <v>1.2748548651273617E-2</v>
      </c>
      <c r="CP95">
        <v>90</v>
      </c>
      <c r="CQ95">
        <f t="shared" si="85"/>
        <v>306634.01288205798</v>
      </c>
      <c r="CR95">
        <f t="shared" si="86"/>
        <v>527077.28855518275</v>
      </c>
      <c r="CS95">
        <f t="shared" si="87"/>
        <v>569667.80197437794</v>
      </c>
      <c r="CT95">
        <f t="shared" si="88"/>
        <v>280388.80577316397</v>
      </c>
      <c r="CU95">
        <f t="shared" si="70"/>
        <v>449190.55510512949</v>
      </c>
      <c r="CV95">
        <f t="shared" si="71"/>
        <v>477227.429905525</v>
      </c>
      <c r="CW95">
        <f t="shared" si="92"/>
        <v>542791.89881159517</v>
      </c>
      <c r="CX95">
        <f t="shared" si="93"/>
        <v>921497.20914554433</v>
      </c>
      <c r="CY95">
        <f t="shared" si="94"/>
        <v>995810.43322372611</v>
      </c>
      <c r="DB95" t="b">
        <f t="shared" si="89"/>
        <v>0</v>
      </c>
      <c r="DC95" t="b">
        <f t="shared" si="90"/>
        <v>0</v>
      </c>
      <c r="DD95" t="b">
        <f t="shared" si="91"/>
        <v>0</v>
      </c>
    </row>
    <row r="96" spans="1:108" x14ac:dyDescent="0.25">
      <c r="A96" s="1">
        <v>44631</v>
      </c>
      <c r="B96">
        <v>179.25</v>
      </c>
      <c r="C96">
        <v>186.38000500000001</v>
      </c>
      <c r="D96">
        <v>170.88999899999999</v>
      </c>
      <c r="E96">
        <v>171.070007</v>
      </c>
      <c r="F96">
        <v>171.070007</v>
      </c>
      <c r="G96">
        <v>2771500</v>
      </c>
      <c r="H96">
        <f xml:space="preserve"> (ENPH[[#This Row],[Close]]-E95)/E95</f>
        <v>-4.2804352938650626E-2</v>
      </c>
      <c r="K96" s="1">
        <v>44631</v>
      </c>
      <c r="L96">
        <v>322.04998799999998</v>
      </c>
      <c r="M96">
        <v>331.77999899999998</v>
      </c>
      <c r="N96">
        <v>313</v>
      </c>
      <c r="O96">
        <v>317.92999300000002</v>
      </c>
      <c r="P96">
        <v>317.92999300000002</v>
      </c>
      <c r="Q96">
        <v>998200</v>
      </c>
      <c r="R96">
        <f xml:space="preserve"> (SEDG4[[#This Row],[Close]]-O95)/O95</f>
        <v>8.8851837513855333E-3</v>
      </c>
      <c r="V96">
        <f xml:space="preserve"> X96/(2*ENPH[[#This Row],[Close]])</f>
        <v>2389.2762711402979</v>
      </c>
      <c r="W96">
        <f xml:space="preserve"> X96/(2*SEDG4[[#This Row],[Close]])</f>
        <v>1285.6085220902851</v>
      </c>
      <c r="X96">
        <f t="shared" si="49"/>
        <v>817467.01685780939</v>
      </c>
      <c r="Y96">
        <f t="shared" si="72"/>
        <v>-1.5139380472384292E-2</v>
      </c>
      <c r="Z96">
        <f xml:space="preserve"> V96*ENPH[[#This Row],[Close]]</f>
        <v>408733.50842890469</v>
      </c>
      <c r="AA96">
        <f xml:space="preserve"> W96*SEDG4[[#This Row],[Close]]</f>
        <v>408733.50842890469</v>
      </c>
      <c r="AB96">
        <f t="shared" si="50"/>
        <v>817467.01685780939</v>
      </c>
      <c r="AC96" t="b">
        <f t="shared" si="51"/>
        <v>1</v>
      </c>
      <c r="AE96">
        <v>92</v>
      </c>
      <c r="AF96">
        <f t="shared" si="52"/>
        <v>424651.3930405284</v>
      </c>
      <c r="AG96">
        <f t="shared" si="53"/>
        <v>558979.89492069557</v>
      </c>
      <c r="AH96">
        <f t="shared" si="54"/>
        <v>606644.8472007548</v>
      </c>
      <c r="AJ96">
        <v>92</v>
      </c>
      <c r="AK96">
        <f t="shared" si="55"/>
        <v>381147.88261796429</v>
      </c>
      <c r="AL96">
        <f t="shared" si="56"/>
        <v>501715.0699767081</v>
      </c>
      <c r="AM96">
        <f t="shared" si="57"/>
        <v>544496.97516852035</v>
      </c>
      <c r="AO96">
        <v>92</v>
      </c>
      <c r="AP96">
        <f t="shared" si="58"/>
        <v>775204.54563693446</v>
      </c>
      <c r="AQ96">
        <f t="shared" si="59"/>
        <v>1020422.3100731076</v>
      </c>
      <c r="AR96">
        <f t="shared" si="60"/>
        <v>1107435.0651956205</v>
      </c>
      <c r="AT96">
        <f t="shared" si="61"/>
        <v>805799.2756584927</v>
      </c>
      <c r="AU96" t="b">
        <f t="shared" si="62"/>
        <v>0</v>
      </c>
      <c r="AV96">
        <f t="shared" si="63"/>
        <v>1060694.9648974037</v>
      </c>
      <c r="AW96" t="b">
        <f t="shared" si="64"/>
        <v>0</v>
      </c>
      <c r="AX96">
        <f t="shared" si="65"/>
        <v>1151141.8223692751</v>
      </c>
      <c r="AY96" t="b">
        <f t="shared" si="66"/>
        <v>0</v>
      </c>
      <c r="BA96">
        <v>92</v>
      </c>
      <c r="BB96">
        <f t="shared" si="67"/>
        <v>-2.6464575330915983E-4</v>
      </c>
      <c r="BC96">
        <f t="shared" si="68"/>
        <v>-2.0591115567546856E-4</v>
      </c>
      <c r="BD96">
        <f t="shared" si="69"/>
        <v>-2.3244332865607462E-4</v>
      </c>
      <c r="BG96">
        <v>91</v>
      </c>
      <c r="BH96">
        <f t="shared" si="73"/>
        <v>69328.792347647031</v>
      </c>
      <c r="BI96">
        <f t="shared" si="74"/>
        <v>91259.328702514977</v>
      </c>
      <c r="BJ96">
        <f t="shared" si="75"/>
        <v>99041.131925210051</v>
      </c>
      <c r="BL96">
        <v>91</v>
      </c>
      <c r="BM96">
        <f t="shared" si="76"/>
        <v>48578.954130782811</v>
      </c>
      <c r="BN96">
        <f t="shared" si="77"/>
        <v>63945.766151744727</v>
      </c>
      <c r="BO96">
        <f t="shared" si="78"/>
        <v>69398.505901118304</v>
      </c>
      <c r="BQ96">
        <v>91</v>
      </c>
      <c r="BR96">
        <f t="shared" si="79"/>
        <v>109725.77475879256</v>
      </c>
      <c r="BS96">
        <f t="shared" si="80"/>
        <v>144434.94840698203</v>
      </c>
      <c r="BT96">
        <f t="shared" si="81"/>
        <v>156751.10679827508</v>
      </c>
      <c r="BV96" t="b">
        <f t="shared" si="82"/>
        <v>0</v>
      </c>
      <c r="BW96" t="b">
        <f t="shared" si="83"/>
        <v>0</v>
      </c>
      <c r="BX96" t="b">
        <f t="shared" si="84"/>
        <v>0</v>
      </c>
      <c r="CB96">
        <v>-4.2804352938650626E-2</v>
      </c>
      <c r="CC96">
        <v>91</v>
      </c>
      <c r="CD96">
        <v>2.0293048815270665E-2</v>
      </c>
      <c r="CG96">
        <v>8.8851837513855333E-3</v>
      </c>
      <c r="CH96">
        <v>1.5891974986148381E-2</v>
      </c>
      <c r="CK96">
        <v>-1.5139380472384292E-2</v>
      </c>
      <c r="CL96">
        <v>1.4101375792586166E-2</v>
      </c>
      <c r="CP96">
        <v>91</v>
      </c>
      <c r="CQ96">
        <f t="shared" si="85"/>
        <v>308332.82927724608</v>
      </c>
      <c r="CR96">
        <f t="shared" si="86"/>
        <v>529997.40668204299</v>
      </c>
      <c r="CS96">
        <f t="shared" si="87"/>
        <v>572823.88042995695</v>
      </c>
      <c r="CT96">
        <f t="shared" si="88"/>
        <v>281942.21824622143</v>
      </c>
      <c r="CU96">
        <f t="shared" si="70"/>
        <v>451679.16448151245</v>
      </c>
      <c r="CV96">
        <f t="shared" si="71"/>
        <v>479871.36941679119</v>
      </c>
      <c r="CW96">
        <f t="shared" si="92"/>
        <v>545799.07915734197</v>
      </c>
      <c r="CX96">
        <f t="shared" si="93"/>
        <v>926602.49590842752</v>
      </c>
      <c r="CY96">
        <f t="shared" si="94"/>
        <v>1001327.4307497328</v>
      </c>
      <c r="DB96" t="b">
        <f t="shared" si="89"/>
        <v>0</v>
      </c>
      <c r="DC96" t="b">
        <f t="shared" si="90"/>
        <v>0</v>
      </c>
      <c r="DD96" t="b">
        <f t="shared" si="91"/>
        <v>0</v>
      </c>
    </row>
    <row r="97" spans="1:108" x14ac:dyDescent="0.25">
      <c r="A97" s="1">
        <v>44634</v>
      </c>
      <c r="B97">
        <v>169</v>
      </c>
      <c r="C97">
        <v>171.88000500000001</v>
      </c>
      <c r="D97">
        <v>155.009995</v>
      </c>
      <c r="E97">
        <v>157.63999899999999</v>
      </c>
      <c r="F97">
        <v>157.63999899999999</v>
      </c>
      <c r="G97">
        <v>3058600</v>
      </c>
      <c r="H97">
        <f xml:space="preserve"> (ENPH[[#This Row],[Close]]-E96)/E96</f>
        <v>-7.8505918340203346E-2</v>
      </c>
      <c r="K97" s="1">
        <v>44634</v>
      </c>
      <c r="L97">
        <v>309.26001000000002</v>
      </c>
      <c r="M97">
        <v>316.72000100000002</v>
      </c>
      <c r="N97">
        <v>291.07501200000002</v>
      </c>
      <c r="O97">
        <v>298.51001000000002</v>
      </c>
      <c r="P97">
        <v>298.51001000000002</v>
      </c>
      <c r="Q97">
        <v>783800</v>
      </c>
      <c r="R97">
        <f xml:space="preserve"> (SEDG4[[#This Row],[Close]]-O96)/O96</f>
        <v>-6.1082576125493136E-2</v>
      </c>
      <c r="V97">
        <f xml:space="preserve"> X97/(2*ENPH[[#This Row],[Close]])</f>
        <v>2414.0447799852195</v>
      </c>
      <c r="W97">
        <f xml:space="preserve"> X97/(2*SEDG4[[#This Row],[Close]])</f>
        <v>1274.831677178347</v>
      </c>
      <c r="X97">
        <f t="shared" si="49"/>
        <v>761100.03340565041</v>
      </c>
      <c r="Y97">
        <f t="shared" si="72"/>
        <v>-6.8953220484446145E-2</v>
      </c>
      <c r="Z97">
        <f xml:space="preserve"> V97*ENPH[[#This Row],[Close]]</f>
        <v>380550.0167028252</v>
      </c>
      <c r="AA97">
        <f xml:space="preserve"> W97*SEDG4[[#This Row],[Close]]</f>
        <v>380550.01670282515</v>
      </c>
      <c r="AB97">
        <f t="shared" si="50"/>
        <v>761100.03340565041</v>
      </c>
      <c r="AC97" t="b">
        <f t="shared" si="51"/>
        <v>1</v>
      </c>
      <c r="AE97">
        <v>93</v>
      </c>
      <c r="AF97">
        <f t="shared" si="52"/>
        <v>426953.04346546967</v>
      </c>
      <c r="AG97">
        <f t="shared" si="53"/>
        <v>562009.61843924073</v>
      </c>
      <c r="AH97">
        <f t="shared" si="54"/>
        <v>609932.91923638526</v>
      </c>
      <c r="AJ97">
        <v>93</v>
      </c>
      <c r="AK97">
        <f t="shared" si="55"/>
        <v>383213.73993144633</v>
      </c>
      <c r="AL97">
        <f t="shared" si="56"/>
        <v>504434.41276690381</v>
      </c>
      <c r="AM97">
        <f t="shared" si="57"/>
        <v>547448.19990206615</v>
      </c>
      <c r="AO97">
        <v>93</v>
      </c>
      <c r="AP97">
        <f t="shared" si="58"/>
        <v>779406.22706580313</v>
      </c>
      <c r="AQ97">
        <f t="shared" si="59"/>
        <v>1025953.0948111083</v>
      </c>
      <c r="AR97">
        <f t="shared" si="60"/>
        <v>1113437.4672368616</v>
      </c>
      <c r="AT97">
        <f t="shared" si="61"/>
        <v>810166.783396916</v>
      </c>
      <c r="AU97" t="b">
        <f t="shared" si="62"/>
        <v>0</v>
      </c>
      <c r="AV97">
        <f t="shared" si="63"/>
        <v>1066444.0312061445</v>
      </c>
      <c r="AW97" t="b">
        <f t="shared" si="64"/>
        <v>0</v>
      </c>
      <c r="AX97">
        <f t="shared" si="65"/>
        <v>1157381.1191384513</v>
      </c>
      <c r="AY97" t="b">
        <f t="shared" si="66"/>
        <v>0</v>
      </c>
      <c r="BA97">
        <v>93</v>
      </c>
      <c r="BB97">
        <f t="shared" si="67"/>
        <v>1.4070904042496148E-4</v>
      </c>
      <c r="BC97">
        <f t="shared" si="68"/>
        <v>1.8300733440650464E-4</v>
      </c>
      <c r="BD97">
        <f t="shared" si="69"/>
        <v>1.6409597616912658E-4</v>
      </c>
      <c r="BG97">
        <v>92</v>
      </c>
      <c r="BH97">
        <f t="shared" si="73"/>
        <v>69708.678985029706</v>
      </c>
      <c r="BI97">
        <f t="shared" si="74"/>
        <v>91759.38356192685</v>
      </c>
      <c r="BJ97">
        <f t="shared" si="75"/>
        <v>99583.827121470997</v>
      </c>
      <c r="BL97">
        <v>92</v>
      </c>
      <c r="BM97">
        <f t="shared" si="76"/>
        <v>48845.14217340399</v>
      </c>
      <c r="BN97">
        <f t="shared" si="77"/>
        <v>64296.15653437873</v>
      </c>
      <c r="BO97">
        <f t="shared" si="78"/>
        <v>69778.774533434276</v>
      </c>
      <c r="BQ97">
        <v>92</v>
      </c>
      <c r="BR97">
        <f t="shared" si="79"/>
        <v>110327.01638144055</v>
      </c>
      <c r="BS97">
        <f t="shared" si="80"/>
        <v>145226.37870618195</v>
      </c>
      <c r="BT97">
        <f t="shared" si="81"/>
        <v>157610.02340205791</v>
      </c>
      <c r="BV97" t="b">
        <f t="shared" si="82"/>
        <v>0</v>
      </c>
      <c r="BW97" t="b">
        <f t="shared" si="83"/>
        <v>0</v>
      </c>
      <c r="BX97" t="b">
        <f t="shared" si="84"/>
        <v>0</v>
      </c>
      <c r="CB97">
        <v>-7.8505918340203346E-2</v>
      </c>
      <c r="CC97">
        <v>92</v>
      </c>
      <c r="CD97">
        <v>2.0368718507130061E-2</v>
      </c>
      <c r="CG97">
        <v>-6.1082576125493136E-2</v>
      </c>
      <c r="CH97">
        <v>1.6310787639971701E-2</v>
      </c>
      <c r="CK97">
        <v>-6.8953220484446145E-2</v>
      </c>
      <c r="CL97">
        <v>1.6085102781266489E-2</v>
      </c>
      <c r="CP97">
        <v>92</v>
      </c>
      <c r="CQ97">
        <f t="shared" si="85"/>
        <v>310022.33687924588</v>
      </c>
      <c r="CR97">
        <f t="shared" si="86"/>
        <v>532901.52380031568</v>
      </c>
      <c r="CS97">
        <f t="shared" si="87"/>
        <v>575962.66491444421</v>
      </c>
      <c r="CT97">
        <f t="shared" si="88"/>
        <v>283487.11867790192</v>
      </c>
      <c r="CU97">
        <f t="shared" si="70"/>
        <v>454154.13733420946</v>
      </c>
      <c r="CV97">
        <f t="shared" si="71"/>
        <v>482500.82126112503</v>
      </c>
      <c r="CW97">
        <f t="shared" si="92"/>
        <v>548789.78143047448</v>
      </c>
      <c r="CX97">
        <f t="shared" si="93"/>
        <v>931679.80786557111</v>
      </c>
      <c r="CY97">
        <f t="shared" si="94"/>
        <v>1006814.1974696704</v>
      </c>
      <c r="DB97" t="b">
        <f t="shared" si="89"/>
        <v>0</v>
      </c>
      <c r="DC97" t="b">
        <f t="shared" si="90"/>
        <v>0</v>
      </c>
      <c r="DD97" t="b">
        <f t="shared" si="91"/>
        <v>0</v>
      </c>
    </row>
    <row r="98" spans="1:108" x14ac:dyDescent="0.25">
      <c r="A98" s="1">
        <v>44635</v>
      </c>
      <c r="B98">
        <v>157.86999499999999</v>
      </c>
      <c r="C98">
        <v>164.83999600000001</v>
      </c>
      <c r="D98">
        <v>150.88000500000001</v>
      </c>
      <c r="E98">
        <v>164.63999899999999</v>
      </c>
      <c r="F98">
        <v>164.63999899999999</v>
      </c>
      <c r="G98">
        <v>2732300</v>
      </c>
      <c r="H98">
        <f xml:space="preserve"> (ENPH[[#This Row],[Close]]-E97)/E97</f>
        <v>4.4404973638701939E-2</v>
      </c>
      <c r="K98" s="1">
        <v>44635</v>
      </c>
      <c r="L98">
        <v>298.07998700000002</v>
      </c>
      <c r="M98">
        <v>316.92001299999998</v>
      </c>
      <c r="N98">
        <v>290.70001200000002</v>
      </c>
      <c r="O98">
        <v>315.75</v>
      </c>
      <c r="P98">
        <v>315.75</v>
      </c>
      <c r="Q98">
        <v>832200</v>
      </c>
      <c r="R98">
        <f xml:space="preserve"> (SEDG4[[#This Row],[Close]]-O97)/O97</f>
        <v>5.7753473660732434E-2</v>
      </c>
      <c r="V98">
        <f xml:space="preserve"> X98/(2*ENPH[[#This Row],[Close]])</f>
        <v>2431.1040061996073</v>
      </c>
      <c r="W98">
        <f xml:space="preserve"> X98/(2*SEDG4[[#This Row],[Close]])</f>
        <v>1267.6388318277097</v>
      </c>
      <c r="X98">
        <f t="shared" si="49"/>
        <v>800513.92229919869</v>
      </c>
      <c r="Y98">
        <f t="shared" si="72"/>
        <v>5.178542525768292E-2</v>
      </c>
      <c r="Z98">
        <f xml:space="preserve"> V98*ENPH[[#This Row],[Close]]</f>
        <v>400256.96114959929</v>
      </c>
      <c r="AA98">
        <f xml:space="preserve"> W98*SEDG4[[#This Row],[Close]]</f>
        <v>400256.96114959934</v>
      </c>
      <c r="AB98">
        <f t="shared" si="50"/>
        <v>800513.92229919857</v>
      </c>
      <c r="AC98" t="b">
        <f t="shared" si="51"/>
        <v>1</v>
      </c>
      <c r="AE98">
        <v>94</v>
      </c>
      <c r="AF98">
        <f t="shared" si="52"/>
        <v>429242.35233442788</v>
      </c>
      <c r="AG98">
        <f t="shared" si="53"/>
        <v>565023.09644021629</v>
      </c>
      <c r="AH98">
        <f t="shared" si="54"/>
        <v>613203.36047775415</v>
      </c>
      <c r="AJ98">
        <v>94</v>
      </c>
      <c r="AK98">
        <f t="shared" si="55"/>
        <v>385268.52002250956</v>
      </c>
      <c r="AL98">
        <f t="shared" si="56"/>
        <v>507139.17431534425</v>
      </c>
      <c r="AM98">
        <f t="shared" si="57"/>
        <v>550383.60003215657</v>
      </c>
      <c r="AO98">
        <v>94</v>
      </c>
      <c r="AP98">
        <f t="shared" si="58"/>
        <v>783585.37888460816</v>
      </c>
      <c r="AQ98">
        <f t="shared" si="59"/>
        <v>1031454.2232256577</v>
      </c>
      <c r="AR98">
        <f t="shared" si="60"/>
        <v>1119407.6841208688</v>
      </c>
      <c r="AT98">
        <f t="shared" si="61"/>
        <v>814510.8723569375</v>
      </c>
      <c r="AU98" t="b">
        <f t="shared" si="62"/>
        <v>0</v>
      </c>
      <c r="AV98">
        <f t="shared" si="63"/>
        <v>1072162.2707555606</v>
      </c>
      <c r="AW98" t="b">
        <f t="shared" si="64"/>
        <v>0</v>
      </c>
      <c r="AX98">
        <f t="shared" si="65"/>
        <v>1163586.9605099107</v>
      </c>
      <c r="AY98" t="b">
        <f t="shared" si="66"/>
        <v>0</v>
      </c>
      <c r="BA98">
        <v>94</v>
      </c>
      <c r="BB98">
        <f t="shared" si="67"/>
        <v>2.2741464961934747E-4</v>
      </c>
      <c r="BC98">
        <f t="shared" si="68"/>
        <v>1.7367158266063824E-4</v>
      </c>
      <c r="BD98">
        <f t="shared" si="69"/>
        <v>1.9753123437335192E-4</v>
      </c>
      <c r="BG98">
        <v>93</v>
      </c>
      <c r="BH98">
        <f t="shared" si="73"/>
        <v>70086.506570756421</v>
      </c>
      <c r="BI98">
        <f t="shared" si="74"/>
        <v>92256.728037016117</v>
      </c>
      <c r="BJ98">
        <f t="shared" si="75"/>
        <v>100123.58081536632</v>
      </c>
      <c r="BL98">
        <v>93</v>
      </c>
      <c r="BM98">
        <f t="shared" si="76"/>
        <v>49109.887430530711</v>
      </c>
      <c r="BN98">
        <f t="shared" si="77"/>
        <v>64644.647740188382</v>
      </c>
      <c r="BO98">
        <f t="shared" si="78"/>
        <v>70156.982043615295</v>
      </c>
      <c r="BQ98">
        <v>93</v>
      </c>
      <c r="BR98">
        <f t="shared" si="79"/>
        <v>110924.99916990772</v>
      </c>
      <c r="BS98">
        <f t="shared" si="80"/>
        <v>146013.51931549079</v>
      </c>
      <c r="BT98">
        <f t="shared" si="81"/>
        <v>158464.2845284396</v>
      </c>
      <c r="BV98" t="b">
        <f t="shared" si="82"/>
        <v>0</v>
      </c>
      <c r="BW98" t="b">
        <f t="shared" si="83"/>
        <v>0</v>
      </c>
      <c r="BX98" t="b">
        <f t="shared" si="84"/>
        <v>0</v>
      </c>
      <c r="CB98">
        <v>4.4404973638701939E-2</v>
      </c>
      <c r="CC98">
        <v>93</v>
      </c>
      <c r="CD98">
        <v>2.0490714809771628E-2</v>
      </c>
      <c r="CG98">
        <v>5.7753473660732434E-2</v>
      </c>
      <c r="CH98">
        <v>1.6335043002841616E-2</v>
      </c>
      <c r="CK98">
        <v>5.178542525768292E-2</v>
      </c>
      <c r="CL98">
        <v>1.6171227236389793E-2</v>
      </c>
      <c r="CP98">
        <v>93</v>
      </c>
      <c r="CQ98">
        <f t="shared" si="85"/>
        <v>311702.68705615279</v>
      </c>
      <c r="CR98">
        <f t="shared" si="86"/>
        <v>535789.90009863582</v>
      </c>
      <c r="CS98">
        <f t="shared" si="87"/>
        <v>579084.43664103339</v>
      </c>
      <c r="CT98">
        <f t="shared" si="88"/>
        <v>285023.64548050705</v>
      </c>
      <c r="CU98">
        <f t="shared" si="70"/>
        <v>456615.69540352293</v>
      </c>
      <c r="CV98">
        <f t="shared" si="71"/>
        <v>485116.02101906907</v>
      </c>
      <c r="CW98">
        <f t="shared" si="92"/>
        <v>551764.27357705345</v>
      </c>
      <c r="CX98">
        <f t="shared" si="93"/>
        <v>936729.5999087079</v>
      </c>
      <c r="CY98">
        <f t="shared" si="94"/>
        <v>1012271.2249595622</v>
      </c>
      <c r="DB98" t="b">
        <f t="shared" si="89"/>
        <v>0</v>
      </c>
      <c r="DC98" t="b">
        <f t="shared" si="90"/>
        <v>0</v>
      </c>
      <c r="DD98" t="b">
        <f t="shared" si="91"/>
        <v>0</v>
      </c>
    </row>
    <row r="99" spans="1:108" x14ac:dyDescent="0.25">
      <c r="A99" s="1">
        <v>44636</v>
      </c>
      <c r="B99">
        <v>166.229996</v>
      </c>
      <c r="C99">
        <v>177.86000100000001</v>
      </c>
      <c r="D99">
        <v>164.699997</v>
      </c>
      <c r="E99">
        <v>177.21000699999999</v>
      </c>
      <c r="F99">
        <v>177.21000699999999</v>
      </c>
      <c r="G99">
        <v>3147900</v>
      </c>
      <c r="H99">
        <f xml:space="preserve"> (ENPH[[#This Row],[Close]]-E98)/E98</f>
        <v>7.6348445556052288E-2</v>
      </c>
      <c r="K99" s="1">
        <v>44636</v>
      </c>
      <c r="L99">
        <v>319.51998900000001</v>
      </c>
      <c r="M99">
        <v>334.17001299999998</v>
      </c>
      <c r="N99">
        <v>315.71499599999999</v>
      </c>
      <c r="O99">
        <v>334.16000400000001</v>
      </c>
      <c r="P99">
        <v>334.16000400000001</v>
      </c>
      <c r="Q99">
        <v>1195300</v>
      </c>
      <c r="R99">
        <f xml:space="preserve"> (SEDG4[[#This Row],[Close]]-O98)/O98</f>
        <v>5.8305634204275585E-2</v>
      </c>
      <c r="V99">
        <f xml:space="preserve"> X99/(2*ENPH[[#This Row],[Close]])</f>
        <v>2408.4438634044368</v>
      </c>
      <c r="W99">
        <f xml:space="preserve"> X99/(2*SEDG4[[#This Row],[Close]])</f>
        <v>1277.2335072542292</v>
      </c>
      <c r="X99">
        <f t="shared" si="49"/>
        <v>853600.70778601454</v>
      </c>
      <c r="Y99">
        <f t="shared" si="72"/>
        <v>6.631588034639356E-2</v>
      </c>
      <c r="Z99">
        <f xml:space="preserve"> V99*ENPH[[#This Row],[Close]]</f>
        <v>426800.35389300727</v>
      </c>
      <c r="AA99">
        <f xml:space="preserve"> W99*SEDG4[[#This Row],[Close]]</f>
        <v>426800.35389300727</v>
      </c>
      <c r="AB99">
        <f t="shared" si="50"/>
        <v>853600.70778601454</v>
      </c>
      <c r="AC99" t="b">
        <f t="shared" si="51"/>
        <v>1</v>
      </c>
      <c r="AE99">
        <v>95</v>
      </c>
      <c r="AF99">
        <f t="shared" si="52"/>
        <v>431519.51607170561</v>
      </c>
      <c r="AG99">
        <f t="shared" si="53"/>
        <v>568020.58748214308</v>
      </c>
      <c r="AH99">
        <f t="shared" si="54"/>
        <v>616456.451531008</v>
      </c>
      <c r="AJ99">
        <v>95</v>
      </c>
      <c r="AK99">
        <f t="shared" si="55"/>
        <v>387312.39919272333</v>
      </c>
      <c r="AL99">
        <f t="shared" si="56"/>
        <v>509829.58669246233</v>
      </c>
      <c r="AM99">
        <f t="shared" si="57"/>
        <v>553303.42741817608</v>
      </c>
      <c r="AO99">
        <v>95</v>
      </c>
      <c r="AP99">
        <f t="shared" si="58"/>
        <v>787742.35966749885</v>
      </c>
      <c r="AQ99">
        <f t="shared" si="59"/>
        <v>1036926.167317422</v>
      </c>
      <c r="AR99">
        <f t="shared" si="60"/>
        <v>1125346.2280964269</v>
      </c>
      <c r="AT99">
        <f t="shared" si="61"/>
        <v>818831.91526442894</v>
      </c>
      <c r="AU99" t="b">
        <f t="shared" si="62"/>
        <v>0</v>
      </c>
      <c r="AV99">
        <f t="shared" si="63"/>
        <v>1077850.1741746054</v>
      </c>
      <c r="AW99" t="b">
        <f t="shared" si="64"/>
        <v>0</v>
      </c>
      <c r="AX99">
        <f t="shared" si="65"/>
        <v>1169759.878949184</v>
      </c>
      <c r="AY99" t="b">
        <f t="shared" si="66"/>
        <v>0</v>
      </c>
      <c r="BA99">
        <v>95</v>
      </c>
      <c r="BB99">
        <f t="shared" si="67"/>
        <v>5.7512085146540176E-5</v>
      </c>
      <c r="BC99">
        <f t="shared" si="68"/>
        <v>-1.6389300968198915E-4</v>
      </c>
      <c r="BD99">
        <f t="shared" si="69"/>
        <v>-6.4673683266425368E-5</v>
      </c>
      <c r="BG99">
        <v>94</v>
      </c>
      <c r="BH99">
        <f t="shared" si="73"/>
        <v>70462.30822750162</v>
      </c>
      <c r="BI99">
        <f t="shared" si="74"/>
        <v>92751.405728037862</v>
      </c>
      <c r="BJ99">
        <f t="shared" si="75"/>
        <v>100660.44032500232</v>
      </c>
      <c r="BL99">
        <v>94</v>
      </c>
      <c r="BM99">
        <f t="shared" si="76"/>
        <v>49373.213111349629</v>
      </c>
      <c r="BN99">
        <f t="shared" si="77"/>
        <v>64991.270320041862</v>
      </c>
      <c r="BO99">
        <f t="shared" si="78"/>
        <v>70533.161587642317</v>
      </c>
      <c r="BQ99">
        <v>94</v>
      </c>
      <c r="BR99">
        <f t="shared" si="79"/>
        <v>111519.77554701861</v>
      </c>
      <c r="BS99">
        <f t="shared" si="80"/>
        <v>146796.43924046328</v>
      </c>
      <c r="BT99">
        <f t="shared" si="81"/>
        <v>159313.96506716943</v>
      </c>
      <c r="BV99" t="b">
        <f t="shared" si="82"/>
        <v>0</v>
      </c>
      <c r="BW99" t="b">
        <f t="shared" si="83"/>
        <v>0</v>
      </c>
      <c r="BX99" t="b">
        <f t="shared" si="84"/>
        <v>0</v>
      </c>
      <c r="CB99">
        <v>7.6348445556052288E-2</v>
      </c>
      <c r="CC99">
        <v>94</v>
      </c>
      <c r="CD99">
        <v>2.0540595091788568E-2</v>
      </c>
      <c r="CG99">
        <v>5.8305634204275585E-2</v>
      </c>
      <c r="CH99">
        <v>1.6833158354323086E-2</v>
      </c>
      <c r="CK99">
        <v>6.631588034639356E-2</v>
      </c>
      <c r="CL99">
        <v>1.6271856609071E-2</v>
      </c>
      <c r="CP99">
        <v>94</v>
      </c>
      <c r="CQ99">
        <f t="shared" si="85"/>
        <v>313374.02711772907</v>
      </c>
      <c r="CR99">
        <f t="shared" si="86"/>
        <v>538662.78878971562</v>
      </c>
      <c r="CS99">
        <f t="shared" si="87"/>
        <v>582189.46928330616</v>
      </c>
      <c r="CT99">
        <f t="shared" si="88"/>
        <v>286551.93335536349</v>
      </c>
      <c r="CU99">
        <f t="shared" si="70"/>
        <v>459064.05448467174</v>
      </c>
      <c r="CV99">
        <f t="shared" si="71"/>
        <v>487717.19795501122</v>
      </c>
      <c r="CW99">
        <f t="shared" si="92"/>
        <v>554722.81635923276</v>
      </c>
      <c r="CX99">
        <f t="shared" si="93"/>
        <v>941752.31473345926</v>
      </c>
      <c r="CY99">
        <f t="shared" si="94"/>
        <v>1017698.9916157767</v>
      </c>
      <c r="DB99" t="b">
        <f t="shared" si="89"/>
        <v>0</v>
      </c>
      <c r="DC99" t="b">
        <f t="shared" si="90"/>
        <v>0</v>
      </c>
      <c r="DD99" t="b">
        <f t="shared" si="91"/>
        <v>0</v>
      </c>
    </row>
    <row r="100" spans="1:108" x14ac:dyDescent="0.25">
      <c r="A100" s="1">
        <v>44637</v>
      </c>
      <c r="B100">
        <v>174.44000199999999</v>
      </c>
      <c r="C100">
        <v>183.449997</v>
      </c>
      <c r="D100">
        <v>172.78999300000001</v>
      </c>
      <c r="E100">
        <v>180.85000600000001</v>
      </c>
      <c r="F100">
        <v>180.85000600000001</v>
      </c>
      <c r="G100">
        <v>2314900</v>
      </c>
      <c r="H100">
        <f xml:space="preserve"> (ENPH[[#This Row],[Close]]-E99)/E99</f>
        <v>2.0540595091788568E-2</v>
      </c>
      <c r="K100" s="1">
        <v>44637</v>
      </c>
      <c r="L100">
        <v>317.47000100000002</v>
      </c>
      <c r="M100">
        <v>323.70001200000002</v>
      </c>
      <c r="N100">
        <v>307.17999300000002</v>
      </c>
      <c r="O100">
        <v>314.60000600000001</v>
      </c>
      <c r="P100">
        <v>314.60000600000001</v>
      </c>
      <c r="Q100">
        <v>1605800</v>
      </c>
      <c r="R100">
        <f xml:space="preserve"> (SEDG4[[#This Row],[Close]]-O99)/O99</f>
        <v>-5.8534826926803625E-2</v>
      </c>
      <c r="V100">
        <f xml:space="preserve"> X100/(2*ENPH[[#This Row],[Close]])</f>
        <v>2305.4572503137729</v>
      </c>
      <c r="W100">
        <f xml:space="preserve"> X100/(2*SEDG4[[#This Row],[Close]])</f>
        <v>1325.3081678326139</v>
      </c>
      <c r="X100">
        <f t="shared" si="49"/>
        <v>833883.91510397871</v>
      </c>
      <c r="Y100">
        <f t="shared" si="72"/>
        <v>-2.3098379022172207E-2</v>
      </c>
      <c r="Z100">
        <f xml:space="preserve"> V100*ENPH[[#This Row],[Close]]</f>
        <v>416941.95755198936</v>
      </c>
      <c r="AA100">
        <f xml:space="preserve"> W100*SEDG4[[#This Row],[Close]]</f>
        <v>416941.95755198936</v>
      </c>
      <c r="AB100">
        <f t="shared" si="50"/>
        <v>833883.91510397871</v>
      </c>
      <c r="AC100" t="b">
        <f t="shared" si="51"/>
        <v>1</v>
      </c>
      <c r="AE100">
        <v>96</v>
      </c>
      <c r="AF100">
        <f t="shared" si="52"/>
        <v>433784.72594586003</v>
      </c>
      <c r="AG100">
        <f t="shared" si="53"/>
        <v>571002.34333689744</v>
      </c>
      <c r="AH100">
        <f t="shared" si="54"/>
        <v>619692.46563694288</v>
      </c>
      <c r="AJ100">
        <v>96</v>
      </c>
      <c r="AK100">
        <f t="shared" si="55"/>
        <v>389345.5491160932</v>
      </c>
      <c r="AL100">
        <f t="shared" si="56"/>
        <v>512505.87587730639</v>
      </c>
      <c r="AM100">
        <f t="shared" si="57"/>
        <v>556207.92730870459</v>
      </c>
      <c r="AO100">
        <v>96</v>
      </c>
      <c r="AP100">
        <f t="shared" si="58"/>
        <v>791877.51857677044</v>
      </c>
      <c r="AQ100">
        <f t="shared" si="59"/>
        <v>1042369.3866979938</v>
      </c>
      <c r="AR100">
        <f t="shared" si="60"/>
        <v>1131253.5979668149</v>
      </c>
      <c r="AT100">
        <f t="shared" si="61"/>
        <v>823130.27506195323</v>
      </c>
      <c r="AU100" t="b">
        <f t="shared" si="62"/>
        <v>0</v>
      </c>
      <c r="AV100">
        <f t="shared" si="63"/>
        <v>1083508.2192142038</v>
      </c>
      <c r="AW100" t="b">
        <f t="shared" si="64"/>
        <v>0</v>
      </c>
      <c r="AX100">
        <f t="shared" si="65"/>
        <v>1175900.3929456475</v>
      </c>
      <c r="AY100" t="b">
        <f t="shared" si="66"/>
        <v>0</v>
      </c>
      <c r="BA100">
        <v>96</v>
      </c>
      <c r="BB100">
        <f t="shared" si="67"/>
        <v>5.3409836149513956E-5</v>
      </c>
      <c r="BC100">
        <f t="shared" si="68"/>
        <v>-1.7484800198574415E-5</v>
      </c>
      <c r="BD100">
        <f t="shared" si="69"/>
        <v>1.5704760012767036E-5</v>
      </c>
      <c r="BG100">
        <v>95</v>
      </c>
      <c r="BH100">
        <f t="shared" si="73"/>
        <v>70836.116199310389</v>
      </c>
      <c r="BI100">
        <f t="shared" si="74"/>
        <v>93243.459078684085</v>
      </c>
      <c r="BJ100">
        <f t="shared" si="75"/>
        <v>101194.45171330054</v>
      </c>
      <c r="BL100">
        <v>95</v>
      </c>
      <c r="BM100">
        <f t="shared" si="76"/>
        <v>49635.141809388377</v>
      </c>
      <c r="BN100">
        <f t="shared" si="77"/>
        <v>65336.054014398993</v>
      </c>
      <c r="BO100">
        <f t="shared" si="78"/>
        <v>70907.345441983402</v>
      </c>
      <c r="BQ100">
        <v>95</v>
      </c>
      <c r="BR100">
        <f t="shared" si="79"/>
        <v>112111.39654500243</v>
      </c>
      <c r="BS100">
        <f t="shared" si="80"/>
        <v>147575.20565617667</v>
      </c>
      <c r="BT100">
        <f t="shared" si="81"/>
        <v>160159.13792143203</v>
      </c>
      <c r="BV100" t="b">
        <f t="shared" si="82"/>
        <v>0</v>
      </c>
      <c r="BW100" t="b">
        <f t="shared" si="83"/>
        <v>0</v>
      </c>
      <c r="BX100" t="b">
        <f t="shared" si="84"/>
        <v>0</v>
      </c>
      <c r="CB100">
        <v>2.0540595091788568E-2</v>
      </c>
      <c r="CC100">
        <v>95</v>
      </c>
      <c r="CD100">
        <v>2.204664975150147E-2</v>
      </c>
      <c r="CG100">
        <v>-5.8534826926803625E-2</v>
      </c>
      <c r="CH100">
        <v>1.6898983617039721E-2</v>
      </c>
      <c r="CK100">
        <v>-2.3098379022172207E-2</v>
      </c>
      <c r="CL100">
        <v>1.6277305495129565E-2</v>
      </c>
      <c r="CP100">
        <v>95</v>
      </c>
      <c r="CQ100">
        <f t="shared" si="85"/>
        <v>315036.50046612124</v>
      </c>
      <c r="CR100">
        <f t="shared" si="86"/>
        <v>541520.43636941467</v>
      </c>
      <c r="CS100">
        <f t="shared" si="87"/>
        <v>585278.02925523545</v>
      </c>
      <c r="CT100">
        <f t="shared" si="88"/>
        <v>288072.11343064008</v>
      </c>
      <c r="CU100">
        <f t="shared" si="70"/>
        <v>461499.42464857793</v>
      </c>
      <c r="CV100">
        <f t="shared" si="71"/>
        <v>490304.57525175234</v>
      </c>
      <c r="CW100">
        <f t="shared" si="92"/>
        <v>557665.66362205276</v>
      </c>
      <c r="CX100">
        <f t="shared" si="93"/>
        <v>946748.38329227082</v>
      </c>
      <c r="CY100">
        <f t="shared" si="94"/>
        <v>1023097.9631444899</v>
      </c>
      <c r="DB100" t="b">
        <f t="shared" si="89"/>
        <v>0</v>
      </c>
      <c r="DC100" t="b">
        <f t="shared" si="90"/>
        <v>0</v>
      </c>
      <c r="DD100" t="b">
        <f t="shared" si="91"/>
        <v>0</v>
      </c>
    </row>
    <row r="101" spans="1:108" x14ac:dyDescent="0.25">
      <c r="A101" s="1">
        <v>44638</v>
      </c>
      <c r="B101">
        <v>179.270004</v>
      </c>
      <c r="C101">
        <v>185.320007</v>
      </c>
      <c r="D101">
        <v>178.25</v>
      </c>
      <c r="E101">
        <v>184.520004</v>
      </c>
      <c r="F101">
        <v>184.520004</v>
      </c>
      <c r="G101">
        <v>3194400</v>
      </c>
      <c r="H101">
        <f xml:space="preserve"> (ENPH[[#This Row],[Close]]-E100)/E100</f>
        <v>2.0293048815270665E-2</v>
      </c>
      <c r="K101" s="1">
        <v>44638</v>
      </c>
      <c r="L101">
        <v>297.25</v>
      </c>
      <c r="M101">
        <v>318.35000600000001</v>
      </c>
      <c r="N101">
        <v>292.381012</v>
      </c>
      <c r="O101">
        <v>312.51001000000002</v>
      </c>
      <c r="P101">
        <v>312.51001000000002</v>
      </c>
      <c r="Q101">
        <v>3625300</v>
      </c>
      <c r="R101">
        <f xml:space="preserve"> (SEDG4[[#This Row],[Close]]-O100)/O100</f>
        <v>-6.6433438020976551E-3</v>
      </c>
      <c r="V101">
        <f xml:space="preserve"> X101/(2*ENPH[[#This Row],[Close]])</f>
        <v>2273.0861082099818</v>
      </c>
      <c r="W101">
        <f xml:space="preserve"> X101/(2*SEDG4[[#This Row],[Close]])</f>
        <v>1342.1325537036405</v>
      </c>
      <c r="X101">
        <f t="shared" ref="X101:X129" si="95" xml:space="preserve"> $V$5*E101+$W$5*O101</f>
        <v>838859.71555850049</v>
      </c>
      <c r="Y101">
        <f t="shared" si="72"/>
        <v>5.967018147725444E-3</v>
      </c>
      <c r="Z101">
        <f xml:space="preserve"> V101*ENPH[[#This Row],[Close]]</f>
        <v>419429.85777925031</v>
      </c>
      <c r="AA101">
        <f xml:space="preserve"> W101*SEDG4[[#This Row],[Close]]</f>
        <v>419429.85777925025</v>
      </c>
      <c r="AB101">
        <f t="shared" si="50"/>
        <v>838859.71555850049</v>
      </c>
      <c r="AC101" t="b">
        <f t="shared" si="51"/>
        <v>1</v>
      </c>
      <c r="AE101">
        <v>97</v>
      </c>
      <c r="AF101">
        <f t="shared" si="52"/>
        <v>436038.16825719597</v>
      </c>
      <c r="AG101">
        <f t="shared" si="53"/>
        <v>573968.60923651315</v>
      </c>
      <c r="AH101">
        <f t="shared" si="54"/>
        <v>622911.66893885133</v>
      </c>
      <c r="AJ101">
        <v>97</v>
      </c>
      <c r="AK101">
        <f t="shared" si="55"/>
        <v>391368.13700734609</v>
      </c>
      <c r="AL101">
        <f t="shared" si="56"/>
        <v>515168.26197905757</v>
      </c>
      <c r="AM101">
        <f t="shared" si="57"/>
        <v>559097.33858192293</v>
      </c>
      <c r="AO101">
        <v>97</v>
      </c>
      <c r="AP101">
        <f t="shared" si="58"/>
        <v>795991.19570513337</v>
      </c>
      <c r="AQ101">
        <f t="shared" si="59"/>
        <v>1047784.3290404307</v>
      </c>
      <c r="AR101">
        <f t="shared" si="60"/>
        <v>1137130.2795787619</v>
      </c>
      <c r="AT101">
        <f t="shared" si="61"/>
        <v>827406.30526454211</v>
      </c>
      <c r="AU101" t="b">
        <f t="shared" si="62"/>
        <v>0</v>
      </c>
      <c r="AV101">
        <f t="shared" si="63"/>
        <v>1089136.8712155707</v>
      </c>
      <c r="AW101" t="b">
        <f t="shared" si="64"/>
        <v>0</v>
      </c>
      <c r="AX101">
        <f t="shared" si="65"/>
        <v>1182009.0075207744</v>
      </c>
      <c r="AY101" t="b">
        <f t="shared" si="66"/>
        <v>0</v>
      </c>
      <c r="BA101">
        <v>97</v>
      </c>
      <c r="BB101">
        <f t="shared" si="67"/>
        <v>1.24691837094117E-5</v>
      </c>
      <c r="BC101">
        <f t="shared" si="68"/>
        <v>-3.4043135316286084E-6</v>
      </c>
      <c r="BD101">
        <f t="shared" si="69"/>
        <v>4.1327456455323565E-6</v>
      </c>
      <c r="BG101">
        <v>96</v>
      </c>
      <c r="BH101">
        <f t="shared" si="73"/>
        <v>71207.961883886004</v>
      </c>
      <c r="BI101">
        <f t="shared" si="74"/>
        <v>93732.929418584637</v>
      </c>
      <c r="BJ101">
        <f t="shared" si="75"/>
        <v>101725.65983412285</v>
      </c>
      <c r="BL101">
        <v>96</v>
      </c>
      <c r="BM101">
        <f t="shared" si="76"/>
        <v>49895.695525139672</v>
      </c>
      <c r="BN101">
        <f t="shared" si="77"/>
        <v>65679.027783092024</v>
      </c>
      <c r="BO101">
        <f t="shared" si="78"/>
        <v>71279.565035913809</v>
      </c>
      <c r="BQ101">
        <v>96</v>
      </c>
      <c r="BR101">
        <f t="shared" si="79"/>
        <v>112699.91185659445</v>
      </c>
      <c r="BS101">
        <f t="shared" si="80"/>
        <v>148349.88397449677</v>
      </c>
      <c r="BT101">
        <f t="shared" si="81"/>
        <v>160999.8740808492</v>
      </c>
      <c r="BV101" t="b">
        <f xml:space="preserve"> BH101+BM101=BR101</f>
        <v>0</v>
      </c>
      <c r="BW101" t="b">
        <f t="shared" si="83"/>
        <v>0</v>
      </c>
      <c r="BX101" t="b">
        <f t="shared" si="84"/>
        <v>0</v>
      </c>
      <c r="CB101">
        <v>2.0293048815270665E-2</v>
      </c>
      <c r="CC101">
        <v>96</v>
      </c>
      <c r="CD101">
        <v>2.3395375346047617E-2</v>
      </c>
      <c r="CG101">
        <v>-6.6433438020976551E-3</v>
      </c>
      <c r="CH101">
        <v>1.6944188337811198E-2</v>
      </c>
      <c r="CK101">
        <v>5.967018147725444E-3</v>
      </c>
      <c r="CL101">
        <v>1.6410475827087042E-2</v>
      </c>
      <c r="CP101">
        <v>96</v>
      </c>
      <c r="CQ101">
        <f t="shared" si="85"/>
        <v>316690.24673945626</v>
      </c>
      <c r="CR101">
        <f t="shared" si="86"/>
        <v>544363.08286356891</v>
      </c>
      <c r="CS101">
        <f t="shared" si="87"/>
        <v>588350.37597796007</v>
      </c>
      <c r="CT101">
        <f t="shared" si="88"/>
        <v>289584.3133926533</v>
      </c>
      <c r="CU101">
        <f t="shared" si="70"/>
        <v>463922.01045222167</v>
      </c>
      <c r="CV101">
        <f t="shared" si="71"/>
        <v>492878.37023399083</v>
      </c>
      <c r="CW101">
        <f t="shared" si="92"/>
        <v>560593.06254762912</v>
      </c>
      <c r="CX101">
        <f t="shared" si="93"/>
        <v>951718.22522594826</v>
      </c>
      <c r="CY101">
        <f t="shared" si="94"/>
        <v>1028468.5930280224</v>
      </c>
      <c r="DB101" t="b">
        <f t="shared" si="89"/>
        <v>0</v>
      </c>
      <c r="DC101" t="b">
        <f t="shared" si="90"/>
        <v>0</v>
      </c>
      <c r="DD101" t="b">
        <f t="shared" si="91"/>
        <v>0</v>
      </c>
    </row>
    <row r="102" spans="1:108" x14ac:dyDescent="0.25">
      <c r="A102" s="1">
        <v>44641</v>
      </c>
      <c r="B102">
        <v>184.61999499999999</v>
      </c>
      <c r="C102">
        <v>187.94000199999999</v>
      </c>
      <c r="D102">
        <v>179.39999399999999</v>
      </c>
      <c r="E102">
        <v>185.449997</v>
      </c>
      <c r="F102">
        <v>185.449997</v>
      </c>
      <c r="G102">
        <v>1974200</v>
      </c>
      <c r="H102">
        <f xml:space="preserve"> (ENPH[[#This Row],[Close]]-E101)/E101</f>
        <v>5.0400660082361376E-3</v>
      </c>
      <c r="K102" s="1">
        <v>44641</v>
      </c>
      <c r="L102">
        <v>314.13000499999998</v>
      </c>
      <c r="M102">
        <v>320</v>
      </c>
      <c r="N102">
        <v>304.64001500000001</v>
      </c>
      <c r="O102">
        <v>312.07998700000002</v>
      </c>
      <c r="P102">
        <v>312.07998700000002</v>
      </c>
      <c r="Q102">
        <v>982000</v>
      </c>
      <c r="R102">
        <f xml:space="preserve"> (SEDG4[[#This Row],[Close]]-O101)/O101</f>
        <v>-1.3760295230223363E-3</v>
      </c>
      <c r="V102">
        <f xml:space="preserve"> X102/(2*ENPH[[#This Row],[Close]])</f>
        <v>2265.4651208509549</v>
      </c>
      <c r="W102">
        <f xml:space="preserve"> X102/(2*SEDG4[[#This Row],[Close]])</f>
        <v>1346.2269846397237</v>
      </c>
      <c r="X102">
        <f t="shared" si="95"/>
        <v>840260.99973082845</v>
      </c>
      <c r="Y102">
        <f t="shared" si="72"/>
        <v>1.6704630659191944E-3</v>
      </c>
      <c r="Z102">
        <f xml:space="preserve"> V102*ENPH[[#This Row],[Close]]</f>
        <v>420130.49986541423</v>
      </c>
      <c r="AA102">
        <f xml:space="preserve"> W102*SEDG4[[#This Row],[Close]]</f>
        <v>420130.49986541417</v>
      </c>
      <c r="AB102">
        <f t="shared" si="50"/>
        <v>840260.99973082845</v>
      </c>
      <c r="AC102" t="b">
        <f t="shared" si="51"/>
        <v>1</v>
      </c>
      <c r="AE102">
        <v>98</v>
      </c>
      <c r="AF102">
        <f t="shared" si="52"/>
        <v>438280.02451658313</v>
      </c>
      <c r="AG102">
        <f t="shared" si="53"/>
        <v>576919.62410856353</v>
      </c>
      <c r="AH102">
        <f t="shared" si="54"/>
        <v>626114.32073797588</v>
      </c>
      <c r="AJ102">
        <v>98</v>
      </c>
      <c r="AK102">
        <f t="shared" si="55"/>
        <v>393380.32578242844</v>
      </c>
      <c r="AL102">
        <f t="shared" si="56"/>
        <v>517816.95944829867</v>
      </c>
      <c r="AM102">
        <f t="shared" si="57"/>
        <v>561971.89397489768</v>
      </c>
      <c r="AO102">
        <v>98</v>
      </c>
      <c r="AP102">
        <f t="shared" si="58"/>
        <v>800083.72240214492</v>
      </c>
      <c r="AQ102">
        <f t="shared" si="59"/>
        <v>1053171.4305089458</v>
      </c>
      <c r="AR102">
        <f t="shared" si="60"/>
        <v>1142976.7462887783</v>
      </c>
      <c r="AT102">
        <f t="shared" si="61"/>
        <v>831660.35029901157</v>
      </c>
      <c r="AU102" t="b">
        <f t="shared" si="62"/>
        <v>0</v>
      </c>
      <c r="AV102">
        <f t="shared" si="63"/>
        <v>1094736.5835568621</v>
      </c>
      <c r="AW102" t="b">
        <f t="shared" si="64"/>
        <v>0</v>
      </c>
      <c r="AX102">
        <f t="shared" si="65"/>
        <v>1188086.2147128736</v>
      </c>
      <c r="AY102" t="b">
        <f t="shared" si="66"/>
        <v>0</v>
      </c>
      <c r="BA102">
        <v>98</v>
      </c>
      <c r="BB102">
        <f t="shared" si="67"/>
        <v>4.7652617578761782E-5</v>
      </c>
      <c r="BC102">
        <f t="shared" si="68"/>
        <v>9.7097507707715478E-5</v>
      </c>
      <c r="BD102">
        <f t="shared" si="69"/>
        <v>7.3541091007435941E-5</v>
      </c>
      <c r="BG102">
        <v>97</v>
      </c>
      <c r="BH102">
        <f t="shared" si="73"/>
        <v>71577.875863368012</v>
      </c>
      <c r="BI102">
        <f t="shared" si="74"/>
        <v>94219.857003821162</v>
      </c>
      <c r="BJ102">
        <f t="shared" si="75"/>
        <v>102254.10837624002</v>
      </c>
      <c r="BL102">
        <v>97</v>
      </c>
      <c r="BM102">
        <f t="shared" si="76"/>
        <v>50154.895687627453</v>
      </c>
      <c r="BN102">
        <f t="shared" si="77"/>
        <v>66020.219833713694</v>
      </c>
      <c r="BO102">
        <f t="shared" si="78"/>
        <v>71649.850982324933</v>
      </c>
      <c r="BQ102">
        <v>97</v>
      </c>
      <c r="BR102">
        <f t="shared" si="79"/>
        <v>113285.36988374771</v>
      </c>
      <c r="BS102">
        <f t="shared" si="80"/>
        <v>149120.53790819854</v>
      </c>
      <c r="BT102">
        <f t="shared" si="81"/>
        <v>161836.24269106815</v>
      </c>
      <c r="BV102" t="b">
        <f t="shared" si="82"/>
        <v>0</v>
      </c>
      <c r="BW102" t="b">
        <f t="shared" si="83"/>
        <v>0</v>
      </c>
      <c r="BX102" t="b">
        <f t="shared" si="84"/>
        <v>0</v>
      </c>
      <c r="CB102">
        <v>5.0400660082361376E-3</v>
      </c>
      <c r="CC102">
        <v>97</v>
      </c>
      <c r="CD102">
        <v>2.5445954641593081E-2</v>
      </c>
      <c r="CG102">
        <v>-1.3760295230223363E-3</v>
      </c>
      <c r="CH102">
        <v>1.7393946179524812E-2</v>
      </c>
      <c r="CK102">
        <v>1.6704630659191944E-3</v>
      </c>
      <c r="CL102">
        <v>1.8675089985653506E-2</v>
      </c>
      <c r="CP102">
        <v>97</v>
      </c>
      <c r="CQ102">
        <f t="shared" si="85"/>
        <v>318335.40194872289</v>
      </c>
      <c r="CR102">
        <f t="shared" si="86"/>
        <v>547190.96206327865</v>
      </c>
      <c r="CS102">
        <f t="shared" si="87"/>
        <v>591406.76213408448</v>
      </c>
      <c r="CT102">
        <f t="shared" si="88"/>
        <v>291088.65761103324</v>
      </c>
      <c r="CU102">
        <f t="shared" si="70"/>
        <v>466332.01113916049</v>
      </c>
      <c r="CV102">
        <f t="shared" si="71"/>
        <v>495438.79458135756</v>
      </c>
      <c r="CW102">
        <f t="shared" si="92"/>
        <v>563505.25389745529</v>
      </c>
      <c r="CX102">
        <f t="shared" si="93"/>
        <v>956662.24927501404</v>
      </c>
      <c r="CY102">
        <f t="shared" si="94"/>
        <v>1033811.3229693684</v>
      </c>
      <c r="DB102" t="b">
        <f t="shared" si="89"/>
        <v>0</v>
      </c>
      <c r="DC102" t="b">
        <f t="shared" si="90"/>
        <v>0</v>
      </c>
      <c r="DD102" t="b">
        <f t="shared" si="91"/>
        <v>0</v>
      </c>
    </row>
    <row r="103" spans="1:108" x14ac:dyDescent="0.25">
      <c r="A103" s="1">
        <v>44642</v>
      </c>
      <c r="B103">
        <v>185.449997</v>
      </c>
      <c r="C103">
        <v>195.78999300000001</v>
      </c>
      <c r="D103">
        <v>184.30999800000001</v>
      </c>
      <c r="E103">
        <v>189.25</v>
      </c>
      <c r="F103">
        <v>189.25</v>
      </c>
      <c r="G103">
        <v>2333300</v>
      </c>
      <c r="H103">
        <f xml:space="preserve"> (ENPH[[#This Row],[Close]]-E102)/E102</f>
        <v>2.0490714809771628E-2</v>
      </c>
      <c r="K103" s="1">
        <v>44642</v>
      </c>
      <c r="L103">
        <v>314.52999899999998</v>
      </c>
      <c r="M103">
        <v>328.27999899999998</v>
      </c>
      <c r="N103">
        <v>313.47000100000002</v>
      </c>
      <c r="O103">
        <v>325.10998499999999</v>
      </c>
      <c r="P103">
        <v>325.10998499999999</v>
      </c>
      <c r="Q103">
        <v>1040500</v>
      </c>
      <c r="R103">
        <f xml:space="preserve"> (SEDG4[[#This Row],[Close]]-O102)/O102</f>
        <v>4.1752110172960169E-2</v>
      </c>
      <c r="V103">
        <f xml:space="preserve"> X103/(2*ENPH[[#This Row],[Close]])</f>
        <v>2290.1781005212442</v>
      </c>
      <c r="W103">
        <f xml:space="preserve"> X103/(2*SEDG4[[#This Row],[Close]])</f>
        <v>1333.1371705598199</v>
      </c>
      <c r="X103">
        <f t="shared" si="95"/>
        <v>866832.41104729089</v>
      </c>
      <c r="Y103">
        <f t="shared" si="72"/>
        <v>3.1622806871881952E-2</v>
      </c>
      <c r="Z103">
        <f xml:space="preserve"> V103*ENPH[[#This Row],[Close]]</f>
        <v>433416.20552364545</v>
      </c>
      <c r="AA103">
        <f xml:space="preserve"> W103*SEDG4[[#This Row],[Close]]</f>
        <v>433416.20552364545</v>
      </c>
      <c r="AB103">
        <f t="shared" si="50"/>
        <v>866832.41104729089</v>
      </c>
      <c r="AC103" t="b">
        <f t="shared" si="51"/>
        <v>1</v>
      </c>
      <c r="AE103">
        <v>99</v>
      </c>
      <c r="AF103">
        <f t="shared" si="52"/>
        <v>440510.47161608154</v>
      </c>
      <c r="AG103">
        <f t="shared" si="53"/>
        <v>579855.62080076046</v>
      </c>
      <c r="AH103">
        <f t="shared" si="54"/>
        <v>629300.67373725935</v>
      </c>
      <c r="AJ103">
        <v>99</v>
      </c>
      <c r="AK103">
        <f t="shared" si="55"/>
        <v>395382.27421165229</v>
      </c>
      <c r="AL103">
        <f t="shared" si="56"/>
        <v>520452.17727860354</v>
      </c>
      <c r="AM103">
        <f t="shared" si="57"/>
        <v>564831.82030236034</v>
      </c>
      <c r="AO103">
        <v>99</v>
      </c>
      <c r="AP103">
        <f t="shared" si="58"/>
        <v>804155.42158568883</v>
      </c>
      <c r="AQ103">
        <f t="shared" si="59"/>
        <v>1058531.1161689169</v>
      </c>
      <c r="AR103">
        <f t="shared" si="60"/>
        <v>1148793.4594081268</v>
      </c>
      <c r="AT103">
        <f xml:space="preserve"> AF103+AK103</f>
        <v>835892.74582773377</v>
      </c>
      <c r="AU103" t="b">
        <f t="shared" si="62"/>
        <v>0</v>
      </c>
      <c r="AV103">
        <f t="shared" si="63"/>
        <v>1100307.798079364</v>
      </c>
      <c r="AW103" t="b">
        <f t="shared" si="64"/>
        <v>0</v>
      </c>
      <c r="AX103">
        <f t="shared" si="65"/>
        <v>1194132.4940396198</v>
      </c>
      <c r="AY103" t="b">
        <f t="shared" si="66"/>
        <v>0</v>
      </c>
      <c r="BA103">
        <v>99</v>
      </c>
      <c r="BB103">
        <f t="shared" si="67"/>
        <v>1.0858013963527392E-5</v>
      </c>
      <c r="BC103">
        <f t="shared" si="68"/>
        <v>1.4523849959183579E-5</v>
      </c>
      <c r="BD103">
        <f t="shared" si="69"/>
        <v>1.279622700386916E-5</v>
      </c>
      <c r="BG103">
        <v>98</v>
      </c>
      <c r="BH103">
        <f t="shared" si="73"/>
        <v>71945.887933685852</v>
      </c>
      <c r="BI103">
        <f t="shared" si="74"/>
        <v>94704.281055566069</v>
      </c>
      <c r="BJ103">
        <f t="shared" si="75"/>
        <v>102779.8399052655</v>
      </c>
      <c r="BL103">
        <v>98</v>
      </c>
      <c r="BM103">
        <f t="shared" si="76"/>
        <v>50412.76317497524</v>
      </c>
      <c r="BN103">
        <f t="shared" si="77"/>
        <v>66359.657648691908</v>
      </c>
      <c r="BO103">
        <f t="shared" si="78"/>
        <v>72018.233107107488</v>
      </c>
      <c r="BQ103">
        <v>98</v>
      </c>
      <c r="BR103">
        <f t="shared" si="79"/>
        <v>113867.81778409085</v>
      </c>
      <c r="BS103">
        <f t="shared" si="80"/>
        <v>149887.22953211959</v>
      </c>
      <c r="BT103">
        <f t="shared" si="81"/>
        <v>162668.31112012977</v>
      </c>
      <c r="BV103" t="b">
        <f t="shared" si="82"/>
        <v>0</v>
      </c>
      <c r="BW103" t="b">
        <f t="shared" si="83"/>
        <v>0</v>
      </c>
      <c r="BX103" t="b">
        <f t="shared" si="84"/>
        <v>0</v>
      </c>
      <c r="CB103">
        <v>2.0490714809771628E-2</v>
      </c>
      <c r="CC103">
        <v>98</v>
      </c>
      <c r="CD103">
        <v>2.5841312704507145E-2</v>
      </c>
      <c r="CG103">
        <v>4.1752110172960169E-2</v>
      </c>
      <c r="CH103">
        <v>1.7621518335825613E-2</v>
      </c>
      <c r="CK103">
        <v>3.1622806871881952E-2</v>
      </c>
      <c r="CL103">
        <v>1.9457581602630884E-2</v>
      </c>
      <c r="CP103">
        <v>98</v>
      </c>
      <c r="CQ103">
        <f t="shared" si="85"/>
        <v>319972.09860831965</v>
      </c>
      <c r="CR103">
        <f t="shared" si="86"/>
        <v>550004.30174930824</v>
      </c>
      <c r="CS103">
        <f t="shared" si="87"/>
        <v>594447.43391021236</v>
      </c>
      <c r="CT103">
        <f t="shared" si="88"/>
        <v>292585.26725809736</v>
      </c>
      <c r="CU103">
        <f t="shared" si="70"/>
        <v>468729.62083076953</v>
      </c>
      <c r="CV103">
        <f t="shared" si="71"/>
        <v>497986.05453159264</v>
      </c>
      <c r="CW103">
        <f t="shared" si="92"/>
        <v>566402.47224349319</v>
      </c>
      <c r="CX103">
        <f t="shared" si="93"/>
        <v>961580.8536720298</v>
      </c>
      <c r="CY103">
        <f t="shared" si="94"/>
        <v>1039126.5833161578</v>
      </c>
      <c r="DB103" t="b">
        <f t="shared" si="89"/>
        <v>0</v>
      </c>
      <c r="DC103" t="b">
        <f t="shared" si="90"/>
        <v>0</v>
      </c>
      <c r="DD103" t="b">
        <f t="shared" si="91"/>
        <v>0</v>
      </c>
    </row>
    <row r="104" spans="1:108" x14ac:dyDescent="0.25">
      <c r="A104" s="1">
        <v>44643</v>
      </c>
      <c r="B104">
        <v>184.88999899999999</v>
      </c>
      <c r="C104">
        <v>197.91999799999999</v>
      </c>
      <c r="D104">
        <v>184.13999899999999</v>
      </c>
      <c r="E104">
        <v>190.19000199999999</v>
      </c>
      <c r="F104">
        <v>190.19000199999999</v>
      </c>
      <c r="G104">
        <v>1908100</v>
      </c>
      <c r="H104">
        <f xml:space="preserve"> (ENPH[[#This Row],[Close]]-E103)/E103</f>
        <v>4.9669854689563678E-3</v>
      </c>
      <c r="K104" s="1">
        <v>44643</v>
      </c>
      <c r="L104">
        <v>316.19000199999999</v>
      </c>
      <c r="M104">
        <v>340</v>
      </c>
      <c r="N104">
        <v>315</v>
      </c>
      <c r="O104">
        <v>327.26998900000001</v>
      </c>
      <c r="P104">
        <v>327.26998900000001</v>
      </c>
      <c r="Q104">
        <v>1052700</v>
      </c>
      <c r="R104">
        <f xml:space="preserve"> (SEDG4[[#This Row],[Close]]-O103)/O103</f>
        <v>6.6439177498655265E-3</v>
      </c>
      <c r="V104">
        <f xml:space="preserve"> X104/(2*ENPH[[#This Row],[Close]])</f>
        <v>2292.1986126764864</v>
      </c>
      <c r="W104">
        <f xml:space="preserve"> X104/(2*SEDG4[[#This Row],[Close]])</f>
        <v>1332.0905472005811</v>
      </c>
      <c r="X104">
        <f t="shared" si="95"/>
        <v>871906.51745867636</v>
      </c>
      <c r="Y104">
        <f t="shared" si="72"/>
        <v>5.8536187003610362E-3</v>
      </c>
      <c r="Z104">
        <f xml:space="preserve"> V104*ENPH[[#This Row],[Close]]</f>
        <v>435953.25872933818</v>
      </c>
      <c r="AA104">
        <f xml:space="preserve"> W104*SEDG4[[#This Row],[Close]]</f>
        <v>435953.25872933818</v>
      </c>
      <c r="AB104">
        <f t="shared" si="50"/>
        <v>871906.51745867636</v>
      </c>
      <c r="AC104" t="b">
        <f t="shared" si="51"/>
        <v>1</v>
      </c>
      <c r="AE104">
        <v>100</v>
      </c>
      <c r="AF104">
        <f t="shared" si="52"/>
        <v>442729.68199183175</v>
      </c>
      <c r="AG104">
        <f t="shared" si="53"/>
        <v>582776.82629537035</v>
      </c>
      <c r="AH104">
        <f t="shared" si="54"/>
        <v>632470.97427404532</v>
      </c>
      <c r="AJ104">
        <v>100</v>
      </c>
      <c r="AK104">
        <f t="shared" si="55"/>
        <v>397374.1370658977</v>
      </c>
      <c r="AL104">
        <f t="shared" si="56"/>
        <v>523074.11919898778</v>
      </c>
      <c r="AM104">
        <f t="shared" si="57"/>
        <v>567677.33866556804</v>
      </c>
      <c r="AO104">
        <v>100</v>
      </c>
      <c r="AP104">
        <f t="shared" si="58"/>
        <v>808206.60803933127</v>
      </c>
      <c r="AQ104">
        <f t="shared" si="59"/>
        <v>1063863.8003783035</v>
      </c>
      <c r="AR104">
        <f t="shared" si="60"/>
        <v>1154580.868627616</v>
      </c>
      <c r="AT104">
        <f t="shared" si="61"/>
        <v>840103.81905772944</v>
      </c>
      <c r="AU104" t="b">
        <f t="shared" si="62"/>
        <v>0</v>
      </c>
      <c r="AV104">
        <f t="shared" si="63"/>
        <v>1105850.9454943582</v>
      </c>
      <c r="AW104" t="b">
        <f t="shared" si="64"/>
        <v>0</v>
      </c>
      <c r="AX104">
        <f t="shared" si="65"/>
        <v>1200148.3129396134</v>
      </c>
      <c r="AY104" t="b">
        <f t="shared" si="66"/>
        <v>0</v>
      </c>
      <c r="BA104">
        <v>100</v>
      </c>
      <c r="BB104">
        <f t="shared" si="67"/>
        <v>8.2653028550138636E-5</v>
      </c>
      <c r="BC104">
        <f t="shared" si="68"/>
        <v>6.573942501723476E-5</v>
      </c>
      <c r="BD104">
        <f t="shared" si="69"/>
        <v>7.3703385437474833E-5</v>
      </c>
      <c r="BG104">
        <v>99</v>
      </c>
      <c r="BH104">
        <f t="shared" si="73"/>
        <v>72312.02713256795</v>
      </c>
      <c r="BI104">
        <f t="shared" si="74"/>
        <v>95186.239796951704</v>
      </c>
      <c r="BJ104">
        <f t="shared" si="75"/>
        <v>103302.8959036685</v>
      </c>
      <c r="BL104">
        <v>99</v>
      </c>
      <c r="BM104">
        <f t="shared" si="76"/>
        <v>50669.318334032163</v>
      </c>
      <c r="BN104">
        <f t="shared" si="77"/>
        <v>66697.368011123981</v>
      </c>
      <c r="BO104">
        <f t="shared" si="78"/>
        <v>72384.740477188796</v>
      </c>
      <c r="BQ104">
        <v>99</v>
      </c>
      <c r="BR104">
        <f t="shared" si="79"/>
        <v>114447.30151525763</v>
      </c>
      <c r="BS104">
        <f t="shared" si="80"/>
        <v>150650.01934151258</v>
      </c>
      <c r="BT104">
        <f t="shared" si="81"/>
        <v>163496.1450217966</v>
      </c>
      <c r="BV104" t="b">
        <f t="shared" si="82"/>
        <v>0</v>
      </c>
      <c r="BW104" t="b">
        <f t="shared" si="83"/>
        <v>0</v>
      </c>
      <c r="BX104" t="b">
        <f t="shared" si="84"/>
        <v>0</v>
      </c>
      <c r="CB104">
        <v>4.9669854689563678E-3</v>
      </c>
      <c r="CC104">
        <v>99</v>
      </c>
      <c r="CD104">
        <v>2.608698274356424E-2</v>
      </c>
      <c r="CG104">
        <v>6.6439177498655265E-3</v>
      </c>
      <c r="CH104">
        <v>1.9284201243753074E-2</v>
      </c>
      <c r="CK104">
        <v>5.8536187003610362E-3</v>
      </c>
      <c r="CL104">
        <v>2.0423875596291181E-2</v>
      </c>
      <c r="CP104">
        <v>99</v>
      </c>
      <c r="CQ104">
        <f t="shared" si="85"/>
        <v>321600.46586062264</v>
      </c>
      <c r="CR104">
        <f t="shared" si="86"/>
        <v>552803.32390620769</v>
      </c>
      <c r="CS104">
        <f t="shared" si="87"/>
        <v>597472.63122836931</v>
      </c>
      <c r="CT104">
        <f t="shared" si="88"/>
        <v>294074.26042275643</v>
      </c>
      <c r="CU104">
        <f t="shared" si="70"/>
        <v>471115.0287087218</v>
      </c>
      <c r="CV104">
        <f t="shared" si="71"/>
        <v>500520.35107441543</v>
      </c>
      <c r="CW104">
        <f t="shared" si="92"/>
        <v>569284.94618867862</v>
      </c>
      <c r="CX104">
        <f t="shared" si="93"/>
        <v>966474.42651594756</v>
      </c>
      <c r="CY104">
        <f t="shared" si="94"/>
        <v>1044414.7934651958</v>
      </c>
      <c r="DB104" t="b">
        <f t="shared" si="89"/>
        <v>0</v>
      </c>
      <c r="DC104" t="b">
        <f t="shared" si="90"/>
        <v>0</v>
      </c>
      <c r="DD104" t="b">
        <f t="shared" si="91"/>
        <v>0</v>
      </c>
    </row>
    <row r="105" spans="1:108" x14ac:dyDescent="0.25">
      <c r="A105" s="1">
        <v>44644</v>
      </c>
      <c r="B105">
        <v>191.240005</v>
      </c>
      <c r="C105">
        <v>197.86000100000001</v>
      </c>
      <c r="D105">
        <v>189.33000200000001</v>
      </c>
      <c r="E105">
        <v>197.83999600000001</v>
      </c>
      <c r="F105">
        <v>197.83999600000001</v>
      </c>
      <c r="G105">
        <v>1983500</v>
      </c>
      <c r="H105">
        <f xml:space="preserve"> (ENPH[[#This Row],[Close]]-E104)/E104</f>
        <v>4.0222902989401205E-2</v>
      </c>
      <c r="K105" s="1">
        <v>44644</v>
      </c>
      <c r="L105">
        <v>330.80999800000001</v>
      </c>
      <c r="M105">
        <v>338.32000699999998</v>
      </c>
      <c r="N105">
        <v>315</v>
      </c>
      <c r="O105">
        <v>337.73998999999998</v>
      </c>
      <c r="P105">
        <v>337.73998999999998</v>
      </c>
      <c r="Q105">
        <v>1044400</v>
      </c>
      <c r="R105">
        <f xml:space="preserve"> (SEDG4[[#This Row],[Close]]-O104)/O104</f>
        <v>3.1991937396984992E-2</v>
      </c>
      <c r="V105">
        <f xml:space="preserve"> X105/(2*ENPH[[#This Row],[Close]])</f>
        <v>2282.601376310397</v>
      </c>
      <c r="W105">
        <f xml:space="preserve"> X105/(2*SEDG4[[#This Row],[Close]])</f>
        <v>1337.0932093615668</v>
      </c>
      <c r="X105">
        <f t="shared" si="95"/>
        <v>903179.69431768695</v>
      </c>
      <c r="Y105">
        <f t="shared" si="72"/>
        <v>3.5867580104988459E-2</v>
      </c>
      <c r="Z105">
        <f xml:space="preserve"> V105*ENPH[[#This Row],[Close]]</f>
        <v>451589.84715884348</v>
      </c>
      <c r="AA105">
        <f xml:space="preserve"> W105*SEDG4[[#This Row],[Close]]</f>
        <v>451589.84715884342</v>
      </c>
      <c r="AB105">
        <f t="shared" si="50"/>
        <v>903179.69431768684</v>
      </c>
      <c r="AC105" t="b">
        <f t="shared" si="51"/>
        <v>1</v>
      </c>
      <c r="BA105">
        <v>101</v>
      </c>
      <c r="BB105">
        <f t="shared" si="67"/>
        <v>-3.9346304589153581E-5</v>
      </c>
      <c r="BC105">
        <f t="shared" si="68"/>
        <v>-1.4126281503661754E-5</v>
      </c>
      <c r="BD105">
        <f t="shared" si="69"/>
        <v>-2.605134217009719E-5</v>
      </c>
      <c r="BG105">
        <v>100</v>
      </c>
      <c r="BH105">
        <f t="shared" si="73"/>
        <v>72676.321766280962</v>
      </c>
      <c r="BI105">
        <f t="shared" si="74"/>
        <v>95665.770488267808</v>
      </c>
      <c r="BJ105">
        <f t="shared" si="75"/>
        <v>103823.3168089728</v>
      </c>
      <c r="BL105">
        <v>100</v>
      </c>
      <c r="BM105">
        <f t="shared" si="76"/>
        <v>50924.580999109225</v>
      </c>
      <c r="BN105">
        <f t="shared" si="77"/>
        <v>67033.377029439696</v>
      </c>
      <c r="BO105">
        <f t="shared" si="78"/>
        <v>72749.401427298886</v>
      </c>
      <c r="BQ105">
        <v>100</v>
      </c>
      <c r="BR105">
        <f t="shared" si="79"/>
        <v>115023.86587720684</v>
      </c>
      <c r="BS105">
        <f t="shared" si="80"/>
        <v>151408.96630775186</v>
      </c>
      <c r="BT105">
        <f t="shared" si="81"/>
        <v>164319.80839600976</v>
      </c>
      <c r="BV105" t="b">
        <f t="shared" si="82"/>
        <v>0</v>
      </c>
      <c r="BW105" t="b">
        <f t="shared" si="83"/>
        <v>0</v>
      </c>
      <c r="BX105" t="b">
        <f t="shared" si="84"/>
        <v>0</v>
      </c>
      <c r="CB105">
        <v>4.0222902989401205E-2</v>
      </c>
      <c r="CC105">
        <v>100</v>
      </c>
      <c r="CD105">
        <v>2.6497093798477124E-2</v>
      </c>
      <c r="CG105">
        <v>3.1991937396984992E-2</v>
      </c>
      <c r="CH105">
        <v>1.9761135477972296E-2</v>
      </c>
      <c r="CK105">
        <v>3.5867580104988459E-2</v>
      </c>
      <c r="CL105">
        <v>2.0853976708144734E-2</v>
      </c>
      <c r="CP105">
        <v>100</v>
      </c>
      <c r="CQ105">
        <f t="shared" si="85"/>
        <v>323220.62959490501</v>
      </c>
      <c r="CR105">
        <f t="shared" si="86"/>
        <v>555588.24492672563</v>
      </c>
      <c r="CS105">
        <f t="shared" si="87"/>
        <v>600482.58796693315</v>
      </c>
      <c r="CT105">
        <f t="shared" si="88"/>
        <v>295555.75221925572</v>
      </c>
      <c r="CU105">
        <f t="shared" si="70"/>
        <v>473488.41918919474</v>
      </c>
      <c r="CV105">
        <f t="shared" si="71"/>
        <v>503041.8801366043</v>
      </c>
      <c r="CW105">
        <f t="shared" si="92"/>
        <v>572152.89857742761</v>
      </c>
      <c r="CX105">
        <f t="shared" si="93"/>
        <v>971343.34612948797</v>
      </c>
      <c r="CY105">
        <f t="shared" si="94"/>
        <v>1049676.3622486617</v>
      </c>
      <c r="DB105" t="b">
        <f t="shared" si="89"/>
        <v>0</v>
      </c>
      <c r="DC105" t="b">
        <f t="shared" si="90"/>
        <v>0</v>
      </c>
      <c r="DD105" t="b">
        <f t="shared" si="91"/>
        <v>0</v>
      </c>
    </row>
    <row r="106" spans="1:108" x14ac:dyDescent="0.25">
      <c r="A106" s="1">
        <v>44645</v>
      </c>
      <c r="B106">
        <v>197.63000500000001</v>
      </c>
      <c r="C106">
        <v>198.64999399999999</v>
      </c>
      <c r="D106">
        <v>187.300003</v>
      </c>
      <c r="E106">
        <v>193.80999800000001</v>
      </c>
      <c r="F106">
        <v>193.80999800000001</v>
      </c>
      <c r="G106">
        <v>2009000</v>
      </c>
      <c r="H106">
        <f xml:space="preserve"> (ENPH[[#This Row],[Close]]-E105)/E105</f>
        <v>-2.0369986258996921E-2</v>
      </c>
      <c r="K106" s="1">
        <v>44645</v>
      </c>
      <c r="L106">
        <v>336.38000499999998</v>
      </c>
      <c r="M106">
        <v>338.959991</v>
      </c>
      <c r="N106">
        <v>321.73001099999999</v>
      </c>
      <c r="O106">
        <v>335.26998900000001</v>
      </c>
      <c r="P106">
        <v>335.26998900000001</v>
      </c>
      <c r="Q106">
        <v>859000</v>
      </c>
      <c r="R106">
        <f xml:space="preserve"> (SEDG4[[#This Row],[Close]]-O105)/O105</f>
        <v>-7.3133211142689027E-3</v>
      </c>
      <c r="V106">
        <f xml:space="preserve"> X106/(2*ENPH[[#This Row],[Close]])</f>
        <v>2298.6390691992597</v>
      </c>
      <c r="W106">
        <f xml:space="preserve"> X106/(2*SEDG4[[#This Row],[Close]])</f>
        <v>1328.777546517086</v>
      </c>
      <c r="X106">
        <f t="shared" si="95"/>
        <v>890998.46680846077</v>
      </c>
      <c r="Y106">
        <f t="shared" si="72"/>
        <v>-1.3487047578531504E-2</v>
      </c>
      <c r="Z106">
        <f xml:space="preserve"> V106*ENPH[[#This Row],[Close]]</f>
        <v>445499.23340423038</v>
      </c>
      <c r="AA106">
        <f xml:space="preserve"> W106*SEDG4[[#This Row],[Close]]</f>
        <v>445499.23340423038</v>
      </c>
      <c r="AB106">
        <f t="shared" si="50"/>
        <v>890998.46680846077</v>
      </c>
      <c r="AC106" t="b">
        <f t="shared" si="51"/>
        <v>1</v>
      </c>
      <c r="BA106">
        <v>102</v>
      </c>
      <c r="BB106">
        <f t="shared" si="67"/>
        <v>1.60200004640386E-5</v>
      </c>
      <c r="BC106">
        <f t="shared" si="68"/>
        <v>-1.1914217235662089E-5</v>
      </c>
      <c r="BD106">
        <f t="shared" si="69"/>
        <v>1.202070083367901E-6</v>
      </c>
      <c r="CB106">
        <v>-2.0369986258996921E-2</v>
      </c>
      <c r="CC106">
        <v>101</v>
      </c>
      <c r="CD106">
        <v>2.8114865772530601E-2</v>
      </c>
      <c r="CG106">
        <v>-7.3133211142689027E-3</v>
      </c>
      <c r="CH106">
        <v>2.1728272480546408E-2</v>
      </c>
      <c r="CK106">
        <v>-1.3487047578531504E-2</v>
      </c>
      <c r="CL106">
        <v>2.1160131964831873E-2</v>
      </c>
    </row>
    <row r="107" spans="1:108" x14ac:dyDescent="0.25">
      <c r="A107" s="1">
        <v>44648</v>
      </c>
      <c r="B107">
        <v>191.16999799999999</v>
      </c>
      <c r="C107">
        <v>201.33999600000001</v>
      </c>
      <c r="D107">
        <v>189.64999399999999</v>
      </c>
      <c r="E107">
        <v>195.520004</v>
      </c>
      <c r="F107">
        <v>195.520004</v>
      </c>
      <c r="G107">
        <v>2055000</v>
      </c>
      <c r="H107">
        <f xml:space="preserve"> (ENPH[[#This Row],[Close]]-E106)/E106</f>
        <v>8.8231051939848468E-3</v>
      </c>
      <c r="K107" s="1">
        <v>44648</v>
      </c>
      <c r="L107">
        <v>332.67001299999998</v>
      </c>
      <c r="M107">
        <v>339.79998799999998</v>
      </c>
      <c r="N107">
        <v>320.44000199999999</v>
      </c>
      <c r="O107">
        <v>333.07000699999998</v>
      </c>
      <c r="P107">
        <v>333.07000699999998</v>
      </c>
      <c r="Q107">
        <v>1185000</v>
      </c>
      <c r="R107">
        <f xml:space="preserve"> (SEDG4[[#This Row],[Close]]-O106)/O106</f>
        <v>-6.5618220305427759E-3</v>
      </c>
      <c r="V107">
        <f xml:space="preserve"> X107/(2*ENPH[[#This Row],[Close]])</f>
        <v>2280.0438095686873</v>
      </c>
      <c r="W107">
        <f xml:space="preserve"> X107/(2*SEDG4[[#This Row],[Close]])</f>
        <v>1338.4398636862099</v>
      </c>
      <c r="X107">
        <f t="shared" si="95"/>
        <v>891588.34953408991</v>
      </c>
      <c r="Y107">
        <f t="shared" si="72"/>
        <v>6.6204684699636921E-4</v>
      </c>
      <c r="Z107">
        <f xml:space="preserve"> V107*ENPH[[#This Row],[Close]]</f>
        <v>445794.17476704495</v>
      </c>
      <c r="AA107">
        <f xml:space="preserve"> W107*SEDG4[[#This Row],[Close]]</f>
        <v>445794.17476704495</v>
      </c>
      <c r="AB107">
        <f t="shared" si="50"/>
        <v>891588.34953408991</v>
      </c>
      <c r="AC107" t="b">
        <f t="shared" si="51"/>
        <v>1</v>
      </c>
      <c r="BA107">
        <v>103</v>
      </c>
      <c r="BB107">
        <f t="shared" si="67"/>
        <v>5.9708152663200615E-5</v>
      </c>
      <c r="BC107">
        <f t="shared" si="68"/>
        <v>-4.391517029954482E-5</v>
      </c>
      <c r="BD107">
        <f t="shared" si="69"/>
        <v>5.1371454734357853E-6</v>
      </c>
      <c r="CB107">
        <v>8.8231051939848468E-3</v>
      </c>
      <c r="CC107">
        <v>102</v>
      </c>
      <c r="CD107">
        <v>2.9311198386103257E-2</v>
      </c>
      <c r="CG107">
        <v>-6.5618220305427759E-3</v>
      </c>
      <c r="CH107">
        <v>2.1998649461781577E-2</v>
      </c>
      <c r="CK107">
        <v>6.6204684699636921E-4</v>
      </c>
      <c r="CL107">
        <v>2.586380460561416E-2</v>
      </c>
    </row>
    <row r="108" spans="1:108" x14ac:dyDescent="0.25">
      <c r="A108" s="1">
        <v>44649</v>
      </c>
      <c r="B108">
        <v>196</v>
      </c>
      <c r="C108">
        <v>202.520004</v>
      </c>
      <c r="D108">
        <v>188.550003</v>
      </c>
      <c r="E108">
        <v>202.36000100000001</v>
      </c>
      <c r="F108">
        <v>202.36000100000001</v>
      </c>
      <c r="G108">
        <v>2397800</v>
      </c>
      <c r="H108">
        <f xml:space="preserve"> (ENPH[[#This Row],[Close]]-E107)/E107</f>
        <v>3.4983617328485789E-2</v>
      </c>
      <c r="K108" s="1">
        <v>44649</v>
      </c>
      <c r="L108">
        <v>331.75</v>
      </c>
      <c r="M108">
        <v>334.39999399999999</v>
      </c>
      <c r="N108">
        <v>310.709991</v>
      </c>
      <c r="O108">
        <v>324.5</v>
      </c>
      <c r="P108">
        <v>324.5</v>
      </c>
      <c r="Q108">
        <v>1714800</v>
      </c>
      <c r="R108">
        <f xml:space="preserve"> (SEDG4[[#This Row],[Close]]-O107)/O107</f>
        <v>-2.57303474341356E-2</v>
      </c>
      <c r="V108">
        <f xml:space="preserve"> X108/(2*ENPH[[#This Row],[Close]])</f>
        <v>2209.606499071388</v>
      </c>
      <c r="W108">
        <f xml:space="preserve"> X108/(2*SEDG4[[#This Row],[Close]])</f>
        <v>1377.922876307219</v>
      </c>
      <c r="X108">
        <f t="shared" si="95"/>
        <v>894271.94672338513</v>
      </c>
      <c r="Y108">
        <f t="shared" si="72"/>
        <v>3.009906074588758E-3</v>
      </c>
      <c r="Z108">
        <f xml:space="preserve"> V108*ENPH[[#This Row],[Close]]</f>
        <v>447135.97336169262</v>
      </c>
      <c r="AA108">
        <f xml:space="preserve"> W108*SEDG4[[#This Row],[Close]]</f>
        <v>447135.97336169257</v>
      </c>
      <c r="AB108">
        <f t="shared" si="50"/>
        <v>894271.94672338525</v>
      </c>
      <c r="AC108" t="b">
        <f t="shared" si="51"/>
        <v>1</v>
      </c>
      <c r="BA108">
        <v>104</v>
      </c>
      <c r="BB108">
        <f t="shared" si="67"/>
        <v>-4.5269817338476037E-5</v>
      </c>
      <c r="BC108">
        <f t="shared" si="68"/>
        <v>-5.0775247809599685E-5</v>
      </c>
      <c r="BD108">
        <f t="shared" si="69"/>
        <v>-4.8086057511612802E-5</v>
      </c>
      <c r="CB108">
        <v>3.4983617328485789E-2</v>
      </c>
      <c r="CC108">
        <v>103</v>
      </c>
      <c r="CD108">
        <v>3.2424772589607638E-2</v>
      </c>
      <c r="CG108">
        <v>-2.57303474341356E-2</v>
      </c>
      <c r="CH108">
        <v>2.4136816257599097E-2</v>
      </c>
      <c r="CK108">
        <v>3.009906074588758E-3</v>
      </c>
      <c r="CL108">
        <v>2.5993817685898996E-2</v>
      </c>
    </row>
    <row r="109" spans="1:108" x14ac:dyDescent="0.25">
      <c r="A109" s="1">
        <v>44650</v>
      </c>
      <c r="B109">
        <v>201.729996</v>
      </c>
      <c r="C109">
        <v>203.85000600000001</v>
      </c>
      <c r="D109">
        <v>195.58000200000001</v>
      </c>
      <c r="E109">
        <v>196.64999399999999</v>
      </c>
      <c r="F109">
        <v>196.64999399999999</v>
      </c>
      <c r="G109">
        <v>1671800</v>
      </c>
      <c r="H109">
        <f xml:space="preserve"> (ENPH[[#This Row],[Close]]-E108)/E108</f>
        <v>-2.8217073392878756E-2</v>
      </c>
      <c r="K109" s="1">
        <v>44650</v>
      </c>
      <c r="L109">
        <v>330.11999500000002</v>
      </c>
      <c r="M109">
        <v>334.77999899999998</v>
      </c>
      <c r="N109">
        <v>313.14001500000001</v>
      </c>
      <c r="O109">
        <v>314.23001099999999</v>
      </c>
      <c r="P109">
        <v>314.23001099999999</v>
      </c>
      <c r="Q109">
        <v>1158200</v>
      </c>
      <c r="R109">
        <f xml:space="preserve"> (SEDG4[[#This Row],[Close]]-O108)/O108</f>
        <v>-3.1648656394453037E-2</v>
      </c>
      <c r="V109">
        <f xml:space="preserve"> X109/(2*ENPH[[#This Row],[Close]])</f>
        <v>2205.6151603168837</v>
      </c>
      <c r="W109">
        <f xml:space="preserve"> X109/(2*SEDG4[[#This Row],[Close]])</f>
        <v>1380.3080318850391</v>
      </c>
      <c r="X109">
        <f t="shared" si="95"/>
        <v>867468.41608524835</v>
      </c>
      <c r="Y109">
        <f t="shared" si="72"/>
        <v>-2.9972460543288868E-2</v>
      </c>
      <c r="Z109">
        <f xml:space="preserve"> V109*ENPH[[#This Row],[Close]]</f>
        <v>433734.20804262417</v>
      </c>
      <c r="AA109">
        <f xml:space="preserve"> W109*SEDG4[[#This Row],[Close]]</f>
        <v>433734.20804262417</v>
      </c>
      <c r="AB109">
        <f t="shared" si="50"/>
        <v>867468.41608524835</v>
      </c>
      <c r="AC109" t="b">
        <f t="shared" si="51"/>
        <v>1</v>
      </c>
      <c r="BA109">
        <v>105</v>
      </c>
      <c r="BB109">
        <f t="shared" si="67"/>
        <v>3.9341279360690208E-5</v>
      </c>
      <c r="BC109">
        <f t="shared" si="68"/>
        <v>3.9066141483146916E-5</v>
      </c>
      <c r="BD109">
        <f t="shared" si="69"/>
        <v>3.9200778920440277E-5</v>
      </c>
      <c r="CB109">
        <v>-2.8217073392878756E-2</v>
      </c>
      <c r="CC109">
        <v>104</v>
      </c>
      <c r="CD109">
        <v>3.4106090875402742E-2</v>
      </c>
      <c r="CG109">
        <v>-3.1648656394453037E-2</v>
      </c>
      <c r="CH109">
        <v>2.4853390428456992E-2</v>
      </c>
      <c r="CK109">
        <v>-2.9972460543288868E-2</v>
      </c>
      <c r="CL109">
        <v>2.7759548339292679E-2</v>
      </c>
    </row>
    <row r="110" spans="1:108" x14ac:dyDescent="0.25">
      <c r="A110" s="1">
        <v>44651</v>
      </c>
      <c r="B110">
        <v>197.69000199999999</v>
      </c>
      <c r="C110">
        <v>205.86999499999999</v>
      </c>
      <c r="D110">
        <v>195.61999499999999</v>
      </c>
      <c r="E110">
        <v>201.779999</v>
      </c>
      <c r="F110">
        <v>201.779999</v>
      </c>
      <c r="G110">
        <v>1851500</v>
      </c>
      <c r="H110">
        <f xml:space="preserve"> (ENPH[[#This Row],[Close]]-E109)/E109</f>
        <v>2.608698274356424E-2</v>
      </c>
      <c r="K110" s="1">
        <v>44651</v>
      </c>
      <c r="L110">
        <v>318.14999399999999</v>
      </c>
      <c r="M110">
        <v>328.86999500000002</v>
      </c>
      <c r="N110">
        <v>314.57998700000002</v>
      </c>
      <c r="O110">
        <v>322.36999500000002</v>
      </c>
      <c r="P110">
        <v>322.36999500000002</v>
      </c>
      <c r="Q110">
        <v>1203900</v>
      </c>
      <c r="R110">
        <f xml:space="preserve"> (SEDG4[[#This Row],[Close]]-O109)/O109</f>
        <v>2.5904540352767347E-2</v>
      </c>
      <c r="V110">
        <f xml:space="preserve"> X110/(2*ENPH[[#This Row],[Close]])</f>
        <v>2205.4148982854435</v>
      </c>
      <c r="W110">
        <f xml:space="preserve"> X110/(2*SEDG4[[#This Row],[Close]])</f>
        <v>1380.4281504878329</v>
      </c>
      <c r="X110">
        <f t="shared" si="95"/>
        <v>890017.23194124387</v>
      </c>
      <c r="Y110">
        <f t="shared" si="72"/>
        <v>2.5993817685898996E-2</v>
      </c>
      <c r="Z110">
        <f xml:space="preserve"> V110*ENPH[[#This Row],[Close]]</f>
        <v>445008.61597062193</v>
      </c>
      <c r="AA110">
        <f xml:space="preserve"> W110*SEDG4[[#This Row],[Close]]</f>
        <v>445008.61597062199</v>
      </c>
      <c r="AB110">
        <f t="shared" si="50"/>
        <v>890017.23194124387</v>
      </c>
      <c r="AC110" t="b">
        <f t="shared" si="51"/>
        <v>1</v>
      </c>
      <c r="BA110">
        <v>106</v>
      </c>
      <c r="BB110">
        <f t="shared" si="67"/>
        <v>2.887461404456975E-5</v>
      </c>
      <c r="BC110">
        <f t="shared" si="68"/>
        <v>2.0227776562446398E-6</v>
      </c>
      <c r="BD110">
        <f t="shared" si="69"/>
        <v>1.5163791729036637E-5</v>
      </c>
      <c r="CB110">
        <v>2.608698274356424E-2</v>
      </c>
      <c r="CC110">
        <v>105</v>
      </c>
      <c r="CD110">
        <v>3.4983617328485789E-2</v>
      </c>
      <c r="CG110">
        <v>2.5904540352767347E-2</v>
      </c>
      <c r="CH110">
        <v>2.5237152423740576E-2</v>
      </c>
      <c r="CK110">
        <v>2.5993817685898996E-2</v>
      </c>
      <c r="CL110">
        <v>2.9465190330752618E-2</v>
      </c>
    </row>
    <row r="111" spans="1:108" x14ac:dyDescent="0.25">
      <c r="A111" s="1">
        <v>44652</v>
      </c>
      <c r="B111">
        <v>201.029999</v>
      </c>
      <c r="C111">
        <v>208.699997</v>
      </c>
      <c r="D111">
        <v>201.020004</v>
      </c>
      <c r="E111">
        <v>205.88999899999999</v>
      </c>
      <c r="F111">
        <v>205.88999899999999</v>
      </c>
      <c r="G111">
        <v>2046900</v>
      </c>
      <c r="H111">
        <f xml:space="preserve"> (ENPH[[#This Row],[Close]]-E110)/E110</f>
        <v>2.0368718507130061E-2</v>
      </c>
      <c r="K111" s="1">
        <v>44652</v>
      </c>
      <c r="L111">
        <v>319.14999399999999</v>
      </c>
      <c r="M111">
        <v>334.76001000000002</v>
      </c>
      <c r="N111">
        <v>318</v>
      </c>
      <c r="O111">
        <v>322.82998700000002</v>
      </c>
      <c r="P111">
        <v>322.82998700000002</v>
      </c>
      <c r="Q111">
        <v>834300</v>
      </c>
      <c r="R111">
        <f xml:space="preserve"> (SEDG4[[#This Row],[Close]]-O110)/O110</f>
        <v>1.4269069923830836E-3</v>
      </c>
      <c r="V111">
        <f xml:space="preserve"> X111/(2*ENPH[[#This Row],[Close]])</f>
        <v>2184.5101862637966</v>
      </c>
      <c r="W111">
        <f xml:space="preserve"> X111/(2*SEDG4[[#This Row],[Close]])</f>
        <v>1393.2063878110025</v>
      </c>
      <c r="X111">
        <f t="shared" si="95"/>
        <v>899537.60013068584</v>
      </c>
      <c r="Y111">
        <f t="shared" si="72"/>
        <v>1.0696835800220187E-2</v>
      </c>
      <c r="Z111">
        <f xml:space="preserve"> V111*ENPH[[#This Row],[Close]]</f>
        <v>449768.80006534286</v>
      </c>
      <c r="AA111">
        <f xml:space="preserve"> W111*SEDG4[[#This Row],[Close]]</f>
        <v>449768.80006534292</v>
      </c>
      <c r="AB111">
        <f t="shared" si="50"/>
        <v>899537.60013068584</v>
      </c>
      <c r="AC111" t="b">
        <f t="shared" si="51"/>
        <v>1</v>
      </c>
      <c r="BA111">
        <v>107</v>
      </c>
      <c r="BB111">
        <f t="shared" si="67"/>
        <v>6.7892346689977107E-5</v>
      </c>
      <c r="BC111">
        <f t="shared" si="68"/>
        <v>5.1513544643067069E-5</v>
      </c>
      <c r="BD111">
        <f t="shared" si="69"/>
        <v>5.9605868444870619E-5</v>
      </c>
      <c r="CB111">
        <v>2.0368718507130061E-2</v>
      </c>
      <c r="CC111">
        <v>106</v>
      </c>
      <c r="CD111">
        <v>3.7547462109348208E-2</v>
      </c>
      <c r="CG111">
        <v>1.4269069923830836E-3</v>
      </c>
      <c r="CH111">
        <v>2.5904540352767347E-2</v>
      </c>
      <c r="CK111">
        <v>1.0696835800220187E-2</v>
      </c>
      <c r="CL111">
        <v>3.0190866554839765E-2</v>
      </c>
    </row>
    <row r="112" spans="1:108" x14ac:dyDescent="0.25">
      <c r="A112" s="1">
        <v>44655</v>
      </c>
      <c r="B112">
        <v>207.270004</v>
      </c>
      <c r="C112">
        <v>217.28999300000001</v>
      </c>
      <c r="D112">
        <v>207.11000100000001</v>
      </c>
      <c r="E112">
        <v>216.38000500000001</v>
      </c>
      <c r="F112">
        <v>216.38000500000001</v>
      </c>
      <c r="G112">
        <v>2389200</v>
      </c>
      <c r="H112">
        <f xml:space="preserve"> (ENPH[[#This Row],[Close]]-E111)/E111</f>
        <v>5.0949565549320452E-2</v>
      </c>
      <c r="K112" s="1">
        <v>44655</v>
      </c>
      <c r="L112">
        <v>325.55999800000001</v>
      </c>
      <c r="M112">
        <v>341.92999300000002</v>
      </c>
      <c r="N112">
        <v>323.51001000000002</v>
      </c>
      <c r="O112">
        <v>335.30999800000001</v>
      </c>
      <c r="P112">
        <v>335.30999800000001</v>
      </c>
      <c r="Q112">
        <v>812400</v>
      </c>
      <c r="R112">
        <f xml:space="preserve"> (SEDG4[[#This Row],[Close]]-O111)/O111</f>
        <v>3.8658152905727404E-2</v>
      </c>
      <c r="V112">
        <f xml:space="preserve"> X112/(2*ENPH[[#This Row],[Close]])</f>
        <v>2171.5842545130931</v>
      </c>
      <c r="W112">
        <f xml:space="preserve"> X112/(2*SEDG4[[#This Row],[Close]])</f>
        <v>1401.3522252607104</v>
      </c>
      <c r="X112">
        <f t="shared" si="95"/>
        <v>939774.8236989287</v>
      </c>
      <c r="Y112">
        <f t="shared" si="72"/>
        <v>4.4731007978318138E-2</v>
      </c>
      <c r="Z112">
        <f xml:space="preserve"> V112*ENPH[[#This Row],[Close]]</f>
        <v>469887.41184946441</v>
      </c>
      <c r="AA112">
        <f xml:space="preserve"> W112*SEDG4[[#This Row],[Close]]</f>
        <v>469887.41184946435</v>
      </c>
      <c r="AB112">
        <f t="shared" si="50"/>
        <v>939774.82369892881</v>
      </c>
      <c r="AC112" t="b">
        <f t="shared" si="51"/>
        <v>1</v>
      </c>
      <c r="BA112">
        <v>108</v>
      </c>
      <c r="BB112">
        <f t="shared" si="67"/>
        <v>-2.9812544886994193E-5</v>
      </c>
      <c r="BC112">
        <f t="shared" si="68"/>
        <v>-2.4729732163077328E-5</v>
      </c>
      <c r="BD112">
        <f t="shared" si="69"/>
        <v>-2.725596058227661E-5</v>
      </c>
      <c r="CB112">
        <v>5.0949565549320452E-2</v>
      </c>
      <c r="CC112">
        <v>107</v>
      </c>
      <c r="CD112">
        <v>3.9150304476745994E-2</v>
      </c>
      <c r="CG112">
        <v>3.8658152905727404E-2</v>
      </c>
      <c r="CH112">
        <v>2.6354894920173681E-2</v>
      </c>
      <c r="CK112">
        <v>4.4731007978318138E-2</v>
      </c>
      <c r="CL112">
        <v>3.1622806871881952E-2</v>
      </c>
    </row>
    <row r="113" spans="1:90" x14ac:dyDescent="0.25">
      <c r="A113" s="1">
        <v>44656</v>
      </c>
      <c r="B113">
        <v>216</v>
      </c>
      <c r="C113">
        <v>220.990005</v>
      </c>
      <c r="D113">
        <v>209.66000399999999</v>
      </c>
      <c r="E113">
        <v>211.229996</v>
      </c>
      <c r="F113">
        <v>211.229996</v>
      </c>
      <c r="G113">
        <v>3024100</v>
      </c>
      <c r="H113">
        <f xml:space="preserve"> (ENPH[[#This Row],[Close]]-E112)/E112</f>
        <v>-2.3800761997394403E-2</v>
      </c>
      <c r="K113" s="1">
        <v>44656</v>
      </c>
      <c r="L113">
        <v>337.35998499999999</v>
      </c>
      <c r="M113">
        <v>344.60998499999999</v>
      </c>
      <c r="N113">
        <v>323.16000400000001</v>
      </c>
      <c r="O113">
        <v>328.69000199999999</v>
      </c>
      <c r="P113">
        <v>328.69000199999999</v>
      </c>
      <c r="Q113">
        <v>922200</v>
      </c>
      <c r="R113">
        <f xml:space="preserve"> (SEDG4[[#This Row],[Close]]-O112)/O112</f>
        <v>-1.9742912646463988E-2</v>
      </c>
      <c r="V113">
        <f xml:space="preserve"> X113/(2*ENPH[[#This Row],[Close]])</f>
        <v>2176.1246130538484</v>
      </c>
      <c r="W113">
        <f xml:space="preserve"> X113/(2*SEDG4[[#This Row],[Close]])</f>
        <v>1398.4690453434175</v>
      </c>
      <c r="X113">
        <f t="shared" si="95"/>
        <v>919325.58662173199</v>
      </c>
      <c r="Y113">
        <f t="shared" si="72"/>
        <v>-2.1759720053692286E-2</v>
      </c>
      <c r="Z113">
        <f xml:space="preserve"> V113*ENPH[[#This Row],[Close]]</f>
        <v>459662.79331086593</v>
      </c>
      <c r="AA113">
        <f xml:space="preserve"> W113*SEDG4[[#This Row],[Close]]</f>
        <v>459662.79331086599</v>
      </c>
      <c r="AB113">
        <f t="shared" si="50"/>
        <v>919325.58662173199</v>
      </c>
      <c r="AC113" t="b">
        <f t="shared" si="51"/>
        <v>1</v>
      </c>
      <c r="BA113">
        <v>109</v>
      </c>
      <c r="BB113">
        <f t="shared" si="67"/>
        <v>-4.0356963114982526E-5</v>
      </c>
      <c r="BC113">
        <f t="shared" si="68"/>
        <v>-3.0556139049563703E-5</v>
      </c>
      <c r="BD113">
        <f t="shared" si="69"/>
        <v>-3.5417121177113316E-5</v>
      </c>
      <c r="CB113">
        <v>-2.3800761997394403E-2</v>
      </c>
      <c r="CC113">
        <v>108</v>
      </c>
      <c r="CD113">
        <v>4.0222902989401205E-2</v>
      </c>
      <c r="CG113">
        <v>-1.9742912646463988E-2</v>
      </c>
      <c r="CH113">
        <v>2.7319767162351662E-2</v>
      </c>
      <c r="CK113">
        <v>-2.1759720053692286E-2</v>
      </c>
      <c r="CL113">
        <v>3.3230020107308689E-2</v>
      </c>
    </row>
    <row r="114" spans="1:90" x14ac:dyDescent="0.25">
      <c r="A114" s="1">
        <v>44657</v>
      </c>
      <c r="B114">
        <v>206.60000600000001</v>
      </c>
      <c r="C114">
        <v>208.800003</v>
      </c>
      <c r="D114">
        <v>197.08000200000001</v>
      </c>
      <c r="E114">
        <v>203.990005</v>
      </c>
      <c r="F114">
        <v>203.990005</v>
      </c>
      <c r="G114">
        <v>2996800</v>
      </c>
      <c r="H114">
        <f xml:space="preserve"> (ENPH[[#This Row],[Close]]-E113)/E113</f>
        <v>-3.427539240212836E-2</v>
      </c>
      <c r="K114" s="1">
        <v>44657</v>
      </c>
      <c r="L114">
        <v>322</v>
      </c>
      <c r="M114">
        <v>327</v>
      </c>
      <c r="N114">
        <v>311.61999500000002</v>
      </c>
      <c r="O114">
        <v>320.16000400000001</v>
      </c>
      <c r="P114">
        <v>320.16000400000001</v>
      </c>
      <c r="Q114">
        <v>797400</v>
      </c>
      <c r="R114">
        <f xml:space="preserve"> (SEDG4[[#This Row],[Close]]-O113)/O113</f>
        <v>-2.5951498214417786E-2</v>
      </c>
      <c r="V114">
        <f xml:space="preserve"> X114/(2*ENPH[[#This Row],[Close]])</f>
        <v>2185.5784362025738</v>
      </c>
      <c r="W114">
        <f xml:space="preserve"> X114/(2*SEDG4[[#This Row],[Close]])</f>
        <v>1392.5416996460783</v>
      </c>
      <c r="X114">
        <f t="shared" si="95"/>
        <v>891672.3122577105</v>
      </c>
      <c r="Y114">
        <f t="shared" si="72"/>
        <v>-3.0079957271329352E-2</v>
      </c>
      <c r="Z114">
        <f xml:space="preserve"> V114*ENPH[[#This Row],[Close]]</f>
        <v>445836.15612885519</v>
      </c>
      <c r="AA114">
        <f xml:space="preserve"> W114*SEDG4[[#This Row],[Close]]</f>
        <v>445836.15612885525</v>
      </c>
      <c r="AB114">
        <f t="shared" si="50"/>
        <v>891672.31225771038</v>
      </c>
      <c r="AC114" t="b">
        <f t="shared" si="51"/>
        <v>1</v>
      </c>
      <c r="BA114">
        <v>110</v>
      </c>
      <c r="BB114">
        <f t="shared" si="67"/>
        <v>1.6060000137148714E-5</v>
      </c>
      <c r="BC114">
        <f t="shared" si="68"/>
        <v>-1.808004143952572E-5</v>
      </c>
      <c r="BD114">
        <f t="shared" si="69"/>
        <v>-1.2206132558179263E-6</v>
      </c>
      <c r="CB114">
        <v>-3.427539240212836E-2</v>
      </c>
      <c r="CC114">
        <v>109</v>
      </c>
      <c r="CD114">
        <v>4.3298199797833684E-2</v>
      </c>
      <c r="CG114">
        <v>-2.5951498214417786E-2</v>
      </c>
      <c r="CH114">
        <v>3.0536323925644374E-2</v>
      </c>
      <c r="CK114">
        <v>-3.0079957271329352E-2</v>
      </c>
      <c r="CL114">
        <v>3.5867580104988459E-2</v>
      </c>
    </row>
    <row r="115" spans="1:90" x14ac:dyDescent="0.25">
      <c r="A115" s="1">
        <v>44658</v>
      </c>
      <c r="B115">
        <v>203.759995</v>
      </c>
      <c r="C115">
        <v>215.470001</v>
      </c>
      <c r="D115">
        <v>201.28999300000001</v>
      </c>
      <c r="E115">
        <v>206.949997</v>
      </c>
      <c r="F115">
        <v>206.949997</v>
      </c>
      <c r="G115">
        <v>2977300</v>
      </c>
      <c r="H115">
        <f xml:space="preserve"> (ENPH[[#This Row],[Close]]-E114)/E114</f>
        <v>1.4510475648059325E-2</v>
      </c>
      <c r="K115" s="1">
        <v>44658</v>
      </c>
      <c r="L115">
        <v>319.58999599999999</v>
      </c>
      <c r="M115">
        <v>329.290009</v>
      </c>
      <c r="N115">
        <v>309.05999800000001</v>
      </c>
      <c r="O115">
        <v>314.92999300000002</v>
      </c>
      <c r="P115">
        <v>314.92999300000002</v>
      </c>
      <c r="Q115">
        <v>795700</v>
      </c>
      <c r="R115">
        <f xml:space="preserve"> (SEDG4[[#This Row],[Close]]-O114)/O114</f>
        <v>-1.6335616362623453E-2</v>
      </c>
      <c r="V115">
        <f xml:space="preserve"> X115/(2*ENPH[[#This Row],[Close]])</f>
        <v>2151.9423761303601</v>
      </c>
      <c r="W115">
        <f xml:space="preserve"> X115/(2*SEDG4[[#This Row],[Close]])</f>
        <v>1414.1062400631715</v>
      </c>
      <c r="X115">
        <f t="shared" si="95"/>
        <v>890688.93656870187</v>
      </c>
      <c r="Y115">
        <f t="shared" si="72"/>
        <v>-1.1028442573468714E-3</v>
      </c>
      <c r="Z115">
        <f xml:space="preserve"> V115*ENPH[[#This Row],[Close]]</f>
        <v>445344.46828435088</v>
      </c>
      <c r="AA115">
        <f xml:space="preserve"> W115*SEDG4[[#This Row],[Close]]</f>
        <v>445344.46828435094</v>
      </c>
      <c r="AB115">
        <f t="shared" si="50"/>
        <v>890688.93656870187</v>
      </c>
      <c r="AC115" t="b">
        <f t="shared" si="51"/>
        <v>1</v>
      </c>
      <c r="BA115">
        <v>111</v>
      </c>
      <c r="BB115">
        <f t="shared" si="67"/>
        <v>-5.9371244060132291E-5</v>
      </c>
      <c r="BC115">
        <f t="shared" si="68"/>
        <v>-4.4102091598243014E-5</v>
      </c>
      <c r="BD115">
        <f t="shared" si="69"/>
        <v>-5.1760340651130228E-5</v>
      </c>
      <c r="CB115">
        <v>1.4510475648059325E-2</v>
      </c>
      <c r="CC115">
        <v>110</v>
      </c>
      <c r="CD115">
        <v>4.4404973638701939E-2</v>
      </c>
      <c r="CG115">
        <v>-1.6335616362623453E-2</v>
      </c>
      <c r="CH115">
        <v>3.1991937396984992E-2</v>
      </c>
      <c r="CK115">
        <v>-1.1028442573468714E-3</v>
      </c>
      <c r="CL115">
        <v>4.02826665041379E-2</v>
      </c>
    </row>
    <row r="116" spans="1:90" x14ac:dyDescent="0.25">
      <c r="A116" s="1">
        <v>44659</v>
      </c>
      <c r="B116">
        <v>204</v>
      </c>
      <c r="C116">
        <v>206.13999899999999</v>
      </c>
      <c r="D116">
        <v>194.740005</v>
      </c>
      <c r="E116">
        <v>195.13999899999999</v>
      </c>
      <c r="F116">
        <v>195.13999899999999</v>
      </c>
      <c r="G116">
        <v>1819300</v>
      </c>
      <c r="H116">
        <f xml:space="preserve"> (ENPH[[#This Row],[Close]]-E115)/E115</f>
        <v>-5.7066915540955568E-2</v>
      </c>
      <c r="K116" s="1">
        <v>44659</v>
      </c>
      <c r="L116">
        <v>312.92999300000002</v>
      </c>
      <c r="M116">
        <v>313.89999399999999</v>
      </c>
      <c r="N116">
        <v>299.290009</v>
      </c>
      <c r="O116">
        <v>301.57998700000002</v>
      </c>
      <c r="P116">
        <v>301.57998700000002</v>
      </c>
      <c r="Q116">
        <v>699700</v>
      </c>
      <c r="R116">
        <f xml:space="preserve"> (SEDG4[[#This Row],[Close]]-O115)/O115</f>
        <v>-4.2390392457793011E-2</v>
      </c>
      <c r="V116">
        <f xml:space="preserve"> X116/(2*ENPH[[#This Row],[Close]])</f>
        <v>2168.6376760212402</v>
      </c>
      <c r="W116">
        <f xml:space="preserve"> X116/(2*SEDG4[[#This Row],[Close]])</f>
        <v>1403.2361966052711</v>
      </c>
      <c r="X116">
        <f t="shared" si="95"/>
        <v>846375.90786029422</v>
      </c>
      <c r="Y116">
        <f t="shared" si="72"/>
        <v>-4.9751408027048777E-2</v>
      </c>
      <c r="Z116">
        <f xml:space="preserve"> V116*ENPH[[#This Row],[Close]]</f>
        <v>423187.95393014711</v>
      </c>
      <c r="AA116">
        <f xml:space="preserve"> W116*SEDG4[[#This Row],[Close]]</f>
        <v>423187.95393014711</v>
      </c>
      <c r="AB116">
        <f t="shared" si="50"/>
        <v>846375.90786029422</v>
      </c>
      <c r="AC116" t="b">
        <f t="shared" si="51"/>
        <v>1</v>
      </c>
      <c r="BA116">
        <v>112</v>
      </c>
      <c r="BB116">
        <f t="shared" si="67"/>
        <v>-3.638392657007271E-5</v>
      </c>
      <c r="BC116">
        <f t="shared" si="68"/>
        <v>-5.0262654479192113E-6</v>
      </c>
      <c r="BD116">
        <f t="shared" si="69"/>
        <v>-2.0632633900473099E-5</v>
      </c>
      <c r="CB116">
        <v>-5.7066915540955568E-2</v>
      </c>
      <c r="CC116">
        <v>111</v>
      </c>
      <c r="CD116">
        <v>4.5177025968094128E-2</v>
      </c>
      <c r="CG116">
        <v>-4.2390392457793011E-2</v>
      </c>
      <c r="CH116">
        <v>3.2120205701455733E-2</v>
      </c>
      <c r="CK116">
        <v>-4.9751408027048777E-2</v>
      </c>
      <c r="CL116">
        <v>4.4731007978318138E-2</v>
      </c>
    </row>
    <row r="117" spans="1:90" x14ac:dyDescent="0.25">
      <c r="A117" s="1">
        <v>44662</v>
      </c>
      <c r="B117">
        <v>191</v>
      </c>
      <c r="C117">
        <v>194.320007</v>
      </c>
      <c r="D117">
        <v>185.240005</v>
      </c>
      <c r="E117">
        <v>187.88000500000001</v>
      </c>
      <c r="F117">
        <v>187.88000500000001</v>
      </c>
      <c r="G117">
        <v>2683400</v>
      </c>
      <c r="H117">
        <f xml:space="preserve"> (ENPH[[#This Row],[Close]]-E116)/E116</f>
        <v>-3.7204028068074234E-2</v>
      </c>
      <c r="K117" s="1">
        <v>44662</v>
      </c>
      <c r="L117">
        <v>299.48998999999998</v>
      </c>
      <c r="M117">
        <v>305.72000100000002</v>
      </c>
      <c r="N117">
        <v>291.959991</v>
      </c>
      <c r="O117">
        <v>300.02999899999998</v>
      </c>
      <c r="P117">
        <v>300.02999899999998</v>
      </c>
      <c r="Q117">
        <v>839300</v>
      </c>
      <c r="R117">
        <f xml:space="preserve"> (SEDG4[[#This Row],[Close]]-O116)/O116</f>
        <v>-5.1395585476964739E-3</v>
      </c>
      <c r="V117">
        <f xml:space="preserve"> X117/(2*ENPH[[#This Row],[Close]])</f>
        <v>2204.9161768349095</v>
      </c>
      <c r="W117">
        <f xml:space="preserve"> X117/(2*SEDG4[[#This Row],[Close]])</f>
        <v>1380.7274729495423</v>
      </c>
      <c r="X117">
        <f t="shared" si="95"/>
        <v>828519.3246566474</v>
      </c>
      <c r="Y117">
        <f t="shared" si="72"/>
        <v>-2.1097697887915649E-2</v>
      </c>
      <c r="Z117">
        <f xml:space="preserve"> V117*ENPH[[#This Row],[Close]]</f>
        <v>414259.6623283237</v>
      </c>
      <c r="AA117">
        <f xml:space="preserve"> W117*SEDG4[[#This Row],[Close]]</f>
        <v>414259.66232832364</v>
      </c>
      <c r="AB117">
        <f t="shared" si="50"/>
        <v>828519.3246566474</v>
      </c>
      <c r="AC117" t="b">
        <f t="shared" si="51"/>
        <v>1</v>
      </c>
      <c r="BA117">
        <v>113</v>
      </c>
      <c r="BB117">
        <f t="shared" si="67"/>
        <v>-9.4433481863907972E-6</v>
      </c>
      <c r="BC117">
        <f t="shared" si="68"/>
        <v>4.3508598750781155E-6</v>
      </c>
      <c r="BD117">
        <f t="shared" si="69"/>
        <v>-2.401411380017145E-6</v>
      </c>
      <c r="CB117">
        <v>-3.7204028068074234E-2</v>
      </c>
      <c r="CC117">
        <v>112</v>
      </c>
      <c r="CD117">
        <v>5.0949565549320452E-2</v>
      </c>
      <c r="CG117">
        <v>-5.1395585476964739E-3</v>
      </c>
      <c r="CH117">
        <v>3.8658152905727404E-2</v>
      </c>
      <c r="CK117">
        <v>-2.1097697887915649E-2</v>
      </c>
      <c r="CL117">
        <v>4.5546611604037432E-2</v>
      </c>
    </row>
    <row r="118" spans="1:90" x14ac:dyDescent="0.25">
      <c r="A118" s="1">
        <v>44663</v>
      </c>
      <c r="B118">
        <v>192</v>
      </c>
      <c r="C118">
        <v>194.88999899999999</v>
      </c>
      <c r="D118">
        <v>185.60000600000001</v>
      </c>
      <c r="E118">
        <v>185.949997</v>
      </c>
      <c r="F118">
        <v>185.949997</v>
      </c>
      <c r="G118">
        <v>1863600</v>
      </c>
      <c r="H118">
        <f xml:space="preserve"> (ENPH[[#This Row],[Close]]-E117)/E117</f>
        <v>-1.0272556677864763E-2</v>
      </c>
      <c r="K118" s="1">
        <v>44663</v>
      </c>
      <c r="L118">
        <v>307.39999399999999</v>
      </c>
      <c r="M118">
        <v>311.94000199999999</v>
      </c>
      <c r="N118">
        <v>300.42999300000002</v>
      </c>
      <c r="O118">
        <v>301.45001200000002</v>
      </c>
      <c r="P118">
        <v>301.45001200000002</v>
      </c>
      <c r="Q118">
        <v>584100</v>
      </c>
      <c r="R118">
        <f xml:space="preserve"> (SEDG4[[#This Row],[Close]]-O117)/O117</f>
        <v>4.7329033921039345E-3</v>
      </c>
      <c r="V118">
        <f xml:space="preserve"> X118/(2*ENPH[[#This Row],[Close]])</f>
        <v>2221.9817601666282</v>
      </c>
      <c r="W118">
        <f xml:space="preserve"> X118/(2*SEDG4[[#This Row],[Close]])</f>
        <v>1370.6335551150657</v>
      </c>
      <c r="X118">
        <f t="shared" si="95"/>
        <v>826355.00327407848</v>
      </c>
      <c r="Y118">
        <f t="shared" si="72"/>
        <v>-2.6122762839187225E-3</v>
      </c>
      <c r="Z118">
        <f xml:space="preserve"> V118*ENPH[[#This Row],[Close]]</f>
        <v>413177.50163703924</v>
      </c>
      <c r="AA118">
        <f xml:space="preserve"> W118*SEDG4[[#This Row],[Close]]</f>
        <v>413177.50163703924</v>
      </c>
      <c r="AB118">
        <f t="shared" si="50"/>
        <v>826355.00327407848</v>
      </c>
      <c r="AC118" t="b">
        <f t="shared" si="51"/>
        <v>1</v>
      </c>
      <c r="BA118">
        <v>114</v>
      </c>
      <c r="BB118">
        <f t="shared" si="67"/>
        <v>3.3830658741396758E-5</v>
      </c>
      <c r="BC118">
        <f t="shared" si="68"/>
        <v>1.8775889004032206E-5</v>
      </c>
      <c r="BD118">
        <f t="shared" si="69"/>
        <v>2.6088606900375385E-5</v>
      </c>
      <c r="CB118">
        <v>-1.0272556677864763E-2</v>
      </c>
      <c r="CC118">
        <v>113</v>
      </c>
      <c r="CD118">
        <v>5.2106233135904234E-2</v>
      </c>
      <c r="CG118">
        <v>4.7329033921039345E-3</v>
      </c>
      <c r="CH118">
        <v>4.1752110172960169E-2</v>
      </c>
      <c r="CK118">
        <v>-2.6122762839187225E-3</v>
      </c>
      <c r="CL118">
        <v>4.7700623987557408E-2</v>
      </c>
    </row>
    <row r="119" spans="1:90" x14ac:dyDescent="0.25">
      <c r="A119" s="1">
        <v>44664</v>
      </c>
      <c r="B119">
        <v>187.470001</v>
      </c>
      <c r="C119">
        <v>193.75</v>
      </c>
      <c r="D119">
        <v>184.509995</v>
      </c>
      <c r="E119">
        <v>193.229996</v>
      </c>
      <c r="F119">
        <v>193.229996</v>
      </c>
      <c r="G119">
        <v>1480300</v>
      </c>
      <c r="H119">
        <f xml:space="preserve"> (ENPH[[#This Row],[Close]]-E118)/E118</f>
        <v>3.9150304476745994E-2</v>
      </c>
      <c r="K119" s="1">
        <v>44664</v>
      </c>
      <c r="L119">
        <v>304.25</v>
      </c>
      <c r="M119">
        <v>311.39001500000001</v>
      </c>
      <c r="N119">
        <v>300.76001000000002</v>
      </c>
      <c r="O119">
        <v>308</v>
      </c>
      <c r="P119">
        <v>308</v>
      </c>
      <c r="Q119">
        <v>459600</v>
      </c>
      <c r="R119">
        <f xml:space="preserve"> (SEDG4[[#This Row],[Close]]-O118)/O118</f>
        <v>2.1728272480546408E-2</v>
      </c>
      <c r="V119">
        <f xml:space="preserve"> X119/(2*ENPH[[#This Row],[Close]])</f>
        <v>2202.82408147659</v>
      </c>
      <c r="W119">
        <f xml:space="preserve"> X119/(2*SEDG4[[#This Row],[Close]])</f>
        <v>1381.9860014689129</v>
      </c>
      <c r="X119">
        <f t="shared" si="95"/>
        <v>851303.37690485036</v>
      </c>
      <c r="Y119">
        <f t="shared" si="72"/>
        <v>3.0190866554839765E-2</v>
      </c>
      <c r="Z119">
        <f xml:space="preserve"> V119*ENPH[[#This Row],[Close]]</f>
        <v>425651.68845242518</v>
      </c>
      <c r="AA119">
        <f xml:space="preserve"> W119*SEDG4[[#This Row],[Close]]</f>
        <v>425651.68845242518</v>
      </c>
      <c r="AB119">
        <f t="shared" si="50"/>
        <v>851303.37690485036</v>
      </c>
      <c r="AC119" t="b">
        <f t="shared" si="51"/>
        <v>1</v>
      </c>
      <c r="BA119">
        <v>115</v>
      </c>
      <c r="BB119">
        <f t="shared" si="67"/>
        <v>-1.1433986701935744E-5</v>
      </c>
      <c r="BC119">
        <f t="shared" si="68"/>
        <v>-1.9357455551340995E-5</v>
      </c>
      <c r="BD119">
        <f t="shared" si="69"/>
        <v>-1.5475230288042335E-5</v>
      </c>
      <c r="CB119">
        <v>3.9150304476745994E-2</v>
      </c>
      <c r="CC119">
        <v>114</v>
      </c>
      <c r="CD119">
        <v>5.7460998320617657E-2</v>
      </c>
      <c r="CG119">
        <v>2.1728272480546408E-2</v>
      </c>
      <c r="CH119">
        <v>4.3547953750583922E-2</v>
      </c>
      <c r="CK119">
        <v>3.0190866554839765E-2</v>
      </c>
      <c r="CL119">
        <v>5.178542525768292E-2</v>
      </c>
    </row>
    <row r="120" spans="1:90" x14ac:dyDescent="0.25">
      <c r="A120" s="1">
        <v>44665</v>
      </c>
      <c r="B120">
        <v>192.11999499999999</v>
      </c>
      <c r="C120">
        <v>197.28999300000001</v>
      </c>
      <c r="D120">
        <v>189.89999399999999</v>
      </c>
      <c r="E120">
        <v>190.509995</v>
      </c>
      <c r="F120">
        <v>190.509995</v>
      </c>
      <c r="G120">
        <v>1542500</v>
      </c>
      <c r="H120">
        <f xml:space="preserve"> (ENPH[[#This Row],[Close]]-E119)/E119</f>
        <v>-1.4076494624571624E-2</v>
      </c>
      <c r="K120" s="1">
        <v>44665</v>
      </c>
      <c r="L120">
        <v>310.29998799999998</v>
      </c>
      <c r="M120">
        <v>314</v>
      </c>
      <c r="N120">
        <v>300.57998700000002</v>
      </c>
      <c r="O120">
        <v>300.66000400000001</v>
      </c>
      <c r="P120">
        <v>300.66000400000001</v>
      </c>
      <c r="Q120">
        <v>568100</v>
      </c>
      <c r="R120">
        <f xml:space="preserve"> (SEDG4[[#This Row],[Close]]-O119)/O119</f>
        <v>-2.3831155844155797E-2</v>
      </c>
      <c r="V120">
        <f xml:space="preserve"> X120/(2*ENPH[[#This Row],[Close]])</f>
        <v>2191.7080834955868</v>
      </c>
      <c r="W120">
        <f xml:space="preserve"> X120/(2*SEDG4[[#This Row],[Close]])</f>
        <v>1388.7523796753617</v>
      </c>
      <c r="X120">
        <f t="shared" si="95"/>
        <v>835084.59205640759</v>
      </c>
      <c r="Y120">
        <f t="shared" si="72"/>
        <v>-1.9051709752885816E-2</v>
      </c>
      <c r="Z120">
        <f xml:space="preserve"> V120*ENPH[[#This Row],[Close]]</f>
        <v>417542.29602820385</v>
      </c>
      <c r="AA120">
        <f xml:space="preserve"> W120*SEDG4[[#This Row],[Close]]</f>
        <v>417542.2960282038</v>
      </c>
      <c r="AB120">
        <f t="shared" si="50"/>
        <v>835084.59205640759</v>
      </c>
      <c r="AC120" t="b">
        <f t="shared" si="51"/>
        <v>1</v>
      </c>
      <c r="BA120">
        <v>116</v>
      </c>
      <c r="BB120">
        <f t="shared" si="67"/>
        <v>-1.9237599105409086E-6</v>
      </c>
      <c r="BC120">
        <f t="shared" si="68"/>
        <v>4.0886241398868229E-6</v>
      </c>
      <c r="BD120">
        <f t="shared" si="69"/>
        <v>1.1278232899545385E-6</v>
      </c>
      <c r="CB120">
        <v>-1.4076494624571624E-2</v>
      </c>
      <c r="CC120">
        <v>115</v>
      </c>
      <c r="CD120">
        <v>6.259868895948581E-2</v>
      </c>
      <c r="CG120">
        <v>-2.3831155844155797E-2</v>
      </c>
      <c r="CH120">
        <v>5.1922008458703192E-2</v>
      </c>
      <c r="CK120">
        <v>-1.9051709752885816E-2</v>
      </c>
      <c r="CL120">
        <v>5.1966094857393674E-2</v>
      </c>
    </row>
    <row r="121" spans="1:90" x14ac:dyDescent="0.25">
      <c r="A121" s="1">
        <v>44669</v>
      </c>
      <c r="B121">
        <v>190</v>
      </c>
      <c r="C121">
        <v>192.729996</v>
      </c>
      <c r="D121">
        <v>187.05999800000001</v>
      </c>
      <c r="E121">
        <v>190.029999</v>
      </c>
      <c r="F121">
        <v>190.029999</v>
      </c>
      <c r="G121">
        <v>1506900</v>
      </c>
      <c r="H121">
        <f xml:space="preserve"> (ENPH[[#This Row],[Close]]-E120)/E120</f>
        <v>-2.5195318492344711E-3</v>
      </c>
      <c r="K121" s="1">
        <v>44669</v>
      </c>
      <c r="L121">
        <v>299.85000600000001</v>
      </c>
      <c r="M121">
        <v>305.165009</v>
      </c>
      <c r="N121">
        <v>296.33999599999999</v>
      </c>
      <c r="O121">
        <v>302.26998900000001</v>
      </c>
      <c r="P121">
        <v>302.26998900000001</v>
      </c>
      <c r="Q121">
        <v>404000</v>
      </c>
      <c r="R121">
        <f xml:space="preserve"> (SEDG4[[#This Row],[Close]]-O120)/O120</f>
        <v>5.3548359561652725E-3</v>
      </c>
      <c r="V121">
        <f xml:space="preserve"> X121/(2*ENPH[[#This Row],[Close]])</f>
        <v>2200.4896603546799</v>
      </c>
      <c r="W121">
        <f xml:space="preserve"> X121/(2*SEDG4[[#This Row],[Close]])</f>
        <v>1383.3958486586976</v>
      </c>
      <c r="X121">
        <f t="shared" si="95"/>
        <v>836318.09591342031</v>
      </c>
      <c r="Y121">
        <f t="shared" si="72"/>
        <v>1.4771004862815169E-3</v>
      </c>
      <c r="Z121">
        <f xml:space="preserve"> V121*ENPH[[#This Row],[Close]]</f>
        <v>418159.04795671016</v>
      </c>
      <c r="AA121">
        <f xml:space="preserve"> W121*SEDG4[[#This Row],[Close]]</f>
        <v>418159.04795671022</v>
      </c>
      <c r="AB121">
        <f t="shared" si="50"/>
        <v>836318.09591342043</v>
      </c>
      <c r="AC121" t="b">
        <f t="shared" si="51"/>
        <v>1</v>
      </c>
      <c r="BA121">
        <v>117</v>
      </c>
      <c r="BB121">
        <f t="shared" si="67"/>
        <v>2.1037418478395405E-5</v>
      </c>
      <c r="BC121">
        <f t="shared" si="68"/>
        <v>6.0549015622960717E-6</v>
      </c>
      <c r="BD121">
        <f t="shared" si="69"/>
        <v>1.3403603563890804E-5</v>
      </c>
      <c r="CB121">
        <v>-2.5195318492344711E-3</v>
      </c>
      <c r="CC121">
        <v>116</v>
      </c>
      <c r="CD121">
        <v>7.1979437948003058E-2</v>
      </c>
      <c r="CG121">
        <v>5.3548359561652725E-3</v>
      </c>
      <c r="CH121">
        <v>5.7753473660732434E-2</v>
      </c>
      <c r="CK121">
        <v>1.4771004862815169E-3</v>
      </c>
      <c r="CL121">
        <v>6.1335061557504698E-2</v>
      </c>
    </row>
    <row r="122" spans="1:90" x14ac:dyDescent="0.25">
      <c r="A122" s="1">
        <v>44670</v>
      </c>
      <c r="B122">
        <v>190.320007</v>
      </c>
      <c r="C122">
        <v>195.96000699999999</v>
      </c>
      <c r="D122">
        <v>185.38999899999999</v>
      </c>
      <c r="E122">
        <v>195.60000600000001</v>
      </c>
      <c r="F122">
        <v>195.60000600000001</v>
      </c>
      <c r="G122">
        <v>1646600</v>
      </c>
      <c r="H122">
        <f xml:space="preserve"> (ENPH[[#This Row],[Close]]-E121)/E121</f>
        <v>2.9311198386103257E-2</v>
      </c>
      <c r="K122" s="1">
        <v>44670</v>
      </c>
      <c r="L122">
        <v>305</v>
      </c>
      <c r="M122">
        <v>307.51998900000001</v>
      </c>
      <c r="N122">
        <v>293.69000199999999</v>
      </c>
      <c r="O122">
        <v>304.82000699999998</v>
      </c>
      <c r="P122">
        <v>304.82000699999998</v>
      </c>
      <c r="Q122">
        <v>706100</v>
      </c>
      <c r="R122">
        <f xml:space="preserve"> (SEDG4[[#This Row],[Close]]-O121)/O121</f>
        <v>8.4362261977650906E-3</v>
      </c>
      <c r="V122">
        <f xml:space="preserve"> X122/(2*ENPH[[#This Row],[Close]])</f>
        <v>2177.7514966212061</v>
      </c>
      <c r="W122">
        <f xml:space="preserve"> X122/(2*SEDG4[[#This Row],[Close]])</f>
        <v>1397.4417558674782</v>
      </c>
      <c r="X122">
        <f t="shared" si="95"/>
        <v>851936.41161123384</v>
      </c>
      <c r="Y122">
        <f t="shared" si="72"/>
        <v>1.8675089985653506E-2</v>
      </c>
      <c r="Z122">
        <f xml:space="preserve"> V122*ENPH[[#This Row],[Close]]</f>
        <v>425968.20580561692</v>
      </c>
      <c r="AA122">
        <f xml:space="preserve"> W122*SEDG4[[#This Row],[Close]]</f>
        <v>425968.20580561692</v>
      </c>
      <c r="AB122">
        <f t="shared" si="50"/>
        <v>851936.41161123384</v>
      </c>
      <c r="AC122" t="b">
        <f t="shared" si="51"/>
        <v>1</v>
      </c>
      <c r="BA122">
        <v>118</v>
      </c>
      <c r="BB122">
        <f t="shared" si="67"/>
        <v>-5.8877798130316658E-5</v>
      </c>
      <c r="BC122">
        <f t="shared" si="68"/>
        <v>-5.1371093241357675E-5</v>
      </c>
      <c r="BD122">
        <f t="shared" si="69"/>
        <v>-5.5091463929638343E-5</v>
      </c>
      <c r="CB122">
        <v>2.9311198386103257E-2</v>
      </c>
      <c r="CC122">
        <v>117</v>
      </c>
      <c r="CD122">
        <v>7.6348445556052288E-2</v>
      </c>
      <c r="CG122">
        <v>8.4362261977650906E-3</v>
      </c>
      <c r="CH122">
        <v>5.8305634204275585E-2</v>
      </c>
      <c r="CK122">
        <v>1.8675089985653506E-2</v>
      </c>
      <c r="CL122">
        <v>6.3144087648908567E-2</v>
      </c>
    </row>
    <row r="123" spans="1:90" x14ac:dyDescent="0.25">
      <c r="A123" s="1">
        <v>44671</v>
      </c>
      <c r="B123">
        <v>197.270004</v>
      </c>
      <c r="C123">
        <v>197.85000600000001</v>
      </c>
      <c r="D123">
        <v>176.720001</v>
      </c>
      <c r="E123">
        <v>178.529999</v>
      </c>
      <c r="F123">
        <v>178.529999</v>
      </c>
      <c r="G123">
        <v>2797600</v>
      </c>
      <c r="H123">
        <f xml:space="preserve"> (ENPH[[#This Row],[Close]]-E122)/E122</f>
        <v>-8.7269971760634835E-2</v>
      </c>
      <c r="K123" s="1">
        <v>44671</v>
      </c>
      <c r="L123">
        <v>309.98998999999998</v>
      </c>
      <c r="M123">
        <v>309.98998999999998</v>
      </c>
      <c r="N123">
        <v>280.23001099999999</v>
      </c>
      <c r="O123">
        <v>281.60998499999999</v>
      </c>
      <c r="P123">
        <v>281.60998499999999</v>
      </c>
      <c r="Q123">
        <v>973200</v>
      </c>
      <c r="R123">
        <f xml:space="preserve"> (SEDG4[[#This Row],[Close]]-O122)/O122</f>
        <v>-7.6143368109036172E-2</v>
      </c>
      <c r="V123">
        <f xml:space="preserve"> X123/(2*ENPH[[#This Row],[Close]])</f>
        <v>2191.1420400279467</v>
      </c>
      <c r="W123">
        <f xml:space="preserve"> X123/(2*SEDG4[[#This Row],[Close]])</f>
        <v>1389.1005541406755</v>
      </c>
      <c r="X123">
        <f t="shared" si="95"/>
        <v>782369.17243009456</v>
      </c>
      <c r="Y123">
        <f t="shared" si="72"/>
        <v>-8.165778364792449E-2</v>
      </c>
      <c r="Z123">
        <f xml:space="preserve"> V123*ENPH[[#This Row],[Close]]</f>
        <v>391184.58621504728</v>
      </c>
      <c r="AA123">
        <f xml:space="preserve"> W123*SEDG4[[#This Row],[Close]]</f>
        <v>391184.58621504734</v>
      </c>
      <c r="AB123">
        <f t="shared" si="50"/>
        <v>782369.17243009456</v>
      </c>
      <c r="AC123" t="b">
        <f t="shared" si="51"/>
        <v>1</v>
      </c>
      <c r="BA123">
        <v>119</v>
      </c>
      <c r="BB123">
        <f t="shared" si="67"/>
        <v>-7.8042909615385031E-5</v>
      </c>
      <c r="BC123">
        <f t="shared" si="68"/>
        <v>-6.1839635273156049E-5</v>
      </c>
      <c r="BD123">
        <f t="shared" si="69"/>
        <v>-6.9821005302672873E-5</v>
      </c>
      <c r="CB123">
        <v>-8.7269971760634835E-2</v>
      </c>
      <c r="CC123">
        <v>118</v>
      </c>
      <c r="CD123">
        <v>7.7228140450781385E-2</v>
      </c>
      <c r="CG123">
        <v>-7.6143368109036172E-2</v>
      </c>
      <c r="CH123">
        <v>5.9161920827586485E-2</v>
      </c>
      <c r="CK123">
        <v>-8.165778364792449E-2</v>
      </c>
      <c r="CL123">
        <v>6.631588034639356E-2</v>
      </c>
    </row>
    <row r="124" spans="1:90" x14ac:dyDescent="0.25">
      <c r="A124" s="1">
        <v>44672</v>
      </c>
      <c r="B124">
        <v>181.970001</v>
      </c>
      <c r="C124">
        <v>181.970001</v>
      </c>
      <c r="D124">
        <v>154.41000399999999</v>
      </c>
      <c r="E124">
        <v>156.55999800000001</v>
      </c>
      <c r="F124">
        <v>156.55999800000001</v>
      </c>
      <c r="G124">
        <v>5301500</v>
      </c>
      <c r="H124">
        <f xml:space="preserve"> (ENPH[[#This Row],[Close]]-E123)/E123</f>
        <v>-0.12306055633820956</v>
      </c>
      <c r="K124" s="1">
        <v>44672</v>
      </c>
      <c r="L124">
        <v>284.60998499999999</v>
      </c>
      <c r="M124">
        <v>285.52999899999998</v>
      </c>
      <c r="N124">
        <v>253.35000600000001</v>
      </c>
      <c r="O124">
        <v>254.14999399999999</v>
      </c>
      <c r="P124">
        <v>254.14999399999999</v>
      </c>
      <c r="Q124">
        <v>1407900</v>
      </c>
      <c r="R124">
        <f xml:space="preserve"> (SEDG4[[#This Row],[Close]]-O123)/O123</f>
        <v>-9.7510715040874718E-2</v>
      </c>
      <c r="V124">
        <f xml:space="preserve"> X124/(2*ENPH[[#This Row],[Close]])</f>
        <v>2223.5356065744049</v>
      </c>
      <c r="W124">
        <f xml:space="preserve"> X124/(2*SEDG4[[#This Row],[Close]])</f>
        <v>1369.7294445665723</v>
      </c>
      <c r="X124">
        <f t="shared" si="95"/>
        <v>696233.46023643529</v>
      </c>
      <c r="Y124">
        <f t="shared" si="72"/>
        <v>-0.11009599461353467</v>
      </c>
      <c r="Z124">
        <f xml:space="preserve"> V124*ENPH[[#This Row],[Close]]</f>
        <v>348116.73011821765</v>
      </c>
      <c r="AA124">
        <f xml:space="preserve"> W124*SEDG4[[#This Row],[Close]]</f>
        <v>348116.73011821765</v>
      </c>
      <c r="AB124">
        <f t="shared" si="50"/>
        <v>696233.46023643529</v>
      </c>
      <c r="AC124" t="b">
        <f t="shared" si="51"/>
        <v>1</v>
      </c>
      <c r="BA124">
        <v>120</v>
      </c>
      <c r="BB124">
        <f t="shared" si="67"/>
        <v>-1.1156506110816255E-5</v>
      </c>
      <c r="BC124">
        <f t="shared" si="68"/>
        <v>-6.0281506826330569E-6</v>
      </c>
      <c r="BD124">
        <f t="shared" si="69"/>
        <v>-8.5174620406508412E-6</v>
      </c>
      <c r="CB124">
        <v>-0.12306055633820956</v>
      </c>
      <c r="CC124">
        <v>119</v>
      </c>
      <c r="CD124">
        <v>8.2123765891200365E-2</v>
      </c>
      <c r="CG124">
        <v>-9.7510715040874718E-2</v>
      </c>
      <c r="CH124">
        <v>6.9438315765074948E-2</v>
      </c>
      <c r="CK124">
        <v>-0.11009599461353467</v>
      </c>
      <c r="CL124">
        <v>7.229904346228401E-2</v>
      </c>
    </row>
    <row r="125" spans="1:90" x14ac:dyDescent="0.25">
      <c r="A125" s="1">
        <v>44673</v>
      </c>
      <c r="B125">
        <v>156.91000399999999</v>
      </c>
      <c r="C125">
        <v>161.470001</v>
      </c>
      <c r="D125">
        <v>150.520004</v>
      </c>
      <c r="E125">
        <v>153.63000500000001</v>
      </c>
      <c r="F125">
        <v>153.63000500000001</v>
      </c>
      <c r="G125">
        <v>3876500</v>
      </c>
      <c r="H125">
        <f xml:space="preserve"> (ENPH[[#This Row],[Close]]-E124)/E124</f>
        <v>-1.8714825226300757E-2</v>
      </c>
      <c r="K125" s="1">
        <v>44673</v>
      </c>
      <c r="L125">
        <v>254.5</v>
      </c>
      <c r="M125">
        <v>261.5</v>
      </c>
      <c r="N125">
        <v>249.845001</v>
      </c>
      <c r="O125">
        <v>251.58000200000001</v>
      </c>
      <c r="P125">
        <v>251.58000200000001</v>
      </c>
      <c r="Q125">
        <v>1781300</v>
      </c>
      <c r="R125">
        <f xml:space="preserve"> (SEDG4[[#This Row],[Close]]-O124)/O124</f>
        <v>-1.0112107262139007E-2</v>
      </c>
      <c r="V125">
        <f xml:space="preserve"> X125/(2*ENPH[[#This Row],[Close]])</f>
        <v>2233.5668105513937</v>
      </c>
      <c r="W125">
        <f xml:space="preserve"> X125/(2*SEDG4[[#This Row],[Close]])</f>
        <v>1363.9513377253438</v>
      </c>
      <c r="X125">
        <f t="shared" si="95"/>
        <v>686285.76054568938</v>
      </c>
      <c r="Y125">
        <f t="shared" si="72"/>
        <v>-1.4287879366452384E-2</v>
      </c>
      <c r="Z125">
        <f xml:space="preserve"> V125*ENPH[[#This Row],[Close]]</f>
        <v>343142.88027284469</v>
      </c>
      <c r="AA125">
        <f xml:space="preserve"> W125*SEDG4[[#This Row],[Close]]</f>
        <v>343142.88027284469</v>
      </c>
      <c r="AB125">
        <f t="shared" si="50"/>
        <v>686285.76054568938</v>
      </c>
      <c r="AC125" t="b">
        <f t="shared" si="51"/>
        <v>1</v>
      </c>
      <c r="BA125">
        <v>121</v>
      </c>
      <c r="BB125">
        <f t="shared" si="67"/>
        <v>1.4480543314534273E-5</v>
      </c>
      <c r="BC125">
        <f t="shared" si="68"/>
        <v>4.2543010478336178E-6</v>
      </c>
      <c r="BD125">
        <f t="shared" si="69"/>
        <v>9.1958411224521326E-6</v>
      </c>
      <c r="CB125">
        <v>-1.8714825226300757E-2</v>
      </c>
      <c r="CC125">
        <v>120</v>
      </c>
      <c r="CD125">
        <v>8.4368707067422263E-2</v>
      </c>
      <c r="CG125">
        <v>-1.0112107262139007E-2</v>
      </c>
      <c r="CH125">
        <v>8.8016807246679526E-2</v>
      </c>
      <c r="CK125">
        <v>-1.4287879366452384E-2</v>
      </c>
      <c r="CL125">
        <v>9.3405655445139221E-2</v>
      </c>
    </row>
    <row r="126" spans="1:90" x14ac:dyDescent="0.25">
      <c r="A126" s="1">
        <v>44676</v>
      </c>
      <c r="B126">
        <v>151</v>
      </c>
      <c r="C126">
        <v>158.259995</v>
      </c>
      <c r="D126">
        <v>146.61999499999999</v>
      </c>
      <c r="E126">
        <v>157.60000600000001</v>
      </c>
      <c r="F126">
        <v>157.60000600000001</v>
      </c>
      <c r="G126">
        <v>2829000</v>
      </c>
      <c r="H126">
        <f xml:space="preserve"> (ENPH[[#This Row],[Close]]-E125)/E125</f>
        <v>2.5841312704507145E-2</v>
      </c>
      <c r="K126" s="1">
        <v>44676</v>
      </c>
      <c r="L126">
        <v>247.770004</v>
      </c>
      <c r="M126">
        <v>255.60000600000001</v>
      </c>
      <c r="N126">
        <v>245.05999800000001</v>
      </c>
      <c r="O126">
        <v>253.490005</v>
      </c>
      <c r="P126">
        <v>253.490005</v>
      </c>
      <c r="Q126">
        <v>832900</v>
      </c>
      <c r="R126">
        <f xml:space="preserve"> (SEDG4[[#This Row],[Close]]-O125)/O125</f>
        <v>7.5920303077189298E-3</v>
      </c>
      <c r="V126">
        <f xml:space="preserve"> X126/(2*ENPH[[#This Row],[Close]])</f>
        <v>2213.0330262474686</v>
      </c>
      <c r="W126">
        <f xml:space="preserve"> X126/(2*SEDG4[[#This Row],[Close]])</f>
        <v>1375.8886399280289</v>
      </c>
      <c r="X126">
        <f t="shared" si="95"/>
        <v>697548.03642959846</v>
      </c>
      <c r="Y126">
        <f t="shared" si="72"/>
        <v>1.6410475827087042E-2</v>
      </c>
      <c r="Z126">
        <f xml:space="preserve"> V126*ENPH[[#This Row],[Close]]</f>
        <v>348774.01821479923</v>
      </c>
      <c r="AA126">
        <f xml:space="preserve"> W126*SEDG4[[#This Row],[Close]]</f>
        <v>348774.01821479923</v>
      </c>
      <c r="AB126">
        <f t="shared" si="50"/>
        <v>697548.03642959846</v>
      </c>
      <c r="AC126" t="b">
        <f t="shared" si="51"/>
        <v>1</v>
      </c>
      <c r="BA126">
        <v>122</v>
      </c>
      <c r="BB126">
        <f t="shared" si="67"/>
        <v>-1.2600382256693543E-5</v>
      </c>
      <c r="BC126">
        <f t="shared" si="68"/>
        <v>-1.8140616421292542E-5</v>
      </c>
      <c r="BD126">
        <f t="shared" si="69"/>
        <v>-1.5438615964949359E-5</v>
      </c>
      <c r="CB126">
        <v>2.5841312704507145E-2</v>
      </c>
      <c r="CC126">
        <v>121</v>
      </c>
      <c r="CD126">
        <v>0.10817963110861564</v>
      </c>
      <c r="CG126">
        <v>7.5920303077189298E-3</v>
      </c>
      <c r="CH126">
        <v>0.10413235569510448</v>
      </c>
      <c r="CK126">
        <v>1.6410475827087042E-2</v>
      </c>
      <c r="CL126">
        <v>0.10595135555199671</v>
      </c>
    </row>
    <row r="127" spans="1:90" x14ac:dyDescent="0.25">
      <c r="A127" s="1">
        <v>44677</v>
      </c>
      <c r="B127">
        <v>154.679993</v>
      </c>
      <c r="C127">
        <v>158.759995</v>
      </c>
      <c r="D127">
        <v>151.229996</v>
      </c>
      <c r="E127">
        <v>153.83000200000001</v>
      </c>
      <c r="F127">
        <v>153.83000200000001</v>
      </c>
      <c r="G127">
        <v>3597100</v>
      </c>
      <c r="H127">
        <f xml:space="preserve"> (ENPH[[#This Row],[Close]]-E126)/E126</f>
        <v>-2.3921344266953897E-2</v>
      </c>
      <c r="K127" s="1">
        <v>44677</v>
      </c>
      <c r="L127">
        <v>252.220001</v>
      </c>
      <c r="M127">
        <v>253.81500199999999</v>
      </c>
      <c r="N127">
        <v>244.740005</v>
      </c>
      <c r="O127">
        <v>244.759995</v>
      </c>
      <c r="P127">
        <v>244.759995</v>
      </c>
      <c r="Q127">
        <v>943400</v>
      </c>
      <c r="R127">
        <f xml:space="preserve"> (SEDG4[[#This Row],[Close]]-O126)/O126</f>
        <v>-3.4439267141913518E-2</v>
      </c>
      <c r="V127">
        <f xml:space="preserve"> X127/(2*ENPH[[#This Row],[Close]])</f>
        <v>2200.8163491896962</v>
      </c>
      <c r="W127">
        <f xml:space="preserve"> X127/(2*SEDG4[[#This Row],[Close]])</f>
        <v>1383.1981954301139</v>
      </c>
      <c r="X127">
        <f t="shared" si="95"/>
        <v>677103.16679496737</v>
      </c>
      <c r="Y127">
        <f t="shared" si="72"/>
        <v>-2.9309622516147004E-2</v>
      </c>
      <c r="Z127">
        <f xml:space="preserve"> V127*ENPH[[#This Row],[Close]]</f>
        <v>338551.58339748369</v>
      </c>
      <c r="AA127">
        <f xml:space="preserve"> W127*SEDG4[[#This Row],[Close]]</f>
        <v>338551.58339748369</v>
      </c>
      <c r="AB127">
        <f t="shared" si="50"/>
        <v>677103.16679496737</v>
      </c>
      <c r="AC127" t="b">
        <f t="shared" si="51"/>
        <v>1</v>
      </c>
      <c r="BA127">
        <v>123</v>
      </c>
      <c r="BB127">
        <f t="shared" si="67"/>
        <v>3.8238563644514345E-5</v>
      </c>
      <c r="BC127">
        <f t="shared" si="68"/>
        <v>9.5483350018356394E-6</v>
      </c>
      <c r="BD127">
        <f t="shared" si="69"/>
        <v>2.3618377130208457E-5</v>
      </c>
      <c r="CB127">
        <v>-2.3921344266953897E-2</v>
      </c>
      <c r="CC127">
        <v>122</v>
      </c>
      <c r="CD127">
        <v>0.12034601384083038</v>
      </c>
      <c r="CG127">
        <v>-3.4439267141913518E-2</v>
      </c>
      <c r="CH127">
        <v>0.12330830922262379</v>
      </c>
      <c r="CK127">
        <v>-2.9309622516147004E-2</v>
      </c>
      <c r="CL127">
        <v>0.11951479198582809</v>
      </c>
    </row>
    <row r="128" spans="1:90" x14ac:dyDescent="0.25">
      <c r="A128" s="1">
        <v>44678</v>
      </c>
      <c r="B128">
        <v>169.5</v>
      </c>
      <c r="C128">
        <v>178.25</v>
      </c>
      <c r="D128">
        <v>161.60000600000001</v>
      </c>
      <c r="E128">
        <v>165.71000699999999</v>
      </c>
      <c r="F128">
        <v>165.71000699999999</v>
      </c>
      <c r="G128">
        <v>7930000</v>
      </c>
      <c r="H128">
        <f xml:space="preserve"> (ENPH[[#This Row],[Close]]-E127)/E127</f>
        <v>7.7228140450781385E-2</v>
      </c>
      <c r="K128" s="1">
        <v>44678</v>
      </c>
      <c r="L128">
        <v>250.78999300000001</v>
      </c>
      <c r="M128">
        <v>263.35501099999999</v>
      </c>
      <c r="N128">
        <v>246.36999499999999</v>
      </c>
      <c r="O128">
        <v>249.479996</v>
      </c>
      <c r="P128">
        <v>249.479996</v>
      </c>
      <c r="Q128">
        <v>1156600</v>
      </c>
      <c r="R128">
        <f xml:space="preserve"> (SEDG4[[#This Row],[Close]]-O127)/O127</f>
        <v>1.9284201243753074E-2</v>
      </c>
      <c r="V128">
        <f xml:space="preserve"> X128/(2*ENPH[[#This Row],[Close]])</f>
        <v>2140.4905569614712</v>
      </c>
      <c r="W128">
        <f xml:space="preserve"> X128/(2*SEDG4[[#This Row],[Close]])</f>
        <v>1421.7601044755477</v>
      </c>
      <c r="X128">
        <f t="shared" si="95"/>
        <v>709401.41035503848</v>
      </c>
      <c r="Y128">
        <f t="shared" si="72"/>
        <v>4.7700623987557408E-2</v>
      </c>
      <c r="Z128">
        <f xml:space="preserve"> V128*ENPH[[#This Row],[Close]]</f>
        <v>354700.70517751924</v>
      </c>
      <c r="AA128">
        <f xml:space="preserve"> W128*SEDG4[[#This Row],[Close]]</f>
        <v>354700.70517751924</v>
      </c>
      <c r="AB128">
        <f t="shared" si="50"/>
        <v>709401.41035503848</v>
      </c>
      <c r="AC128" t="b">
        <f t="shared" si="51"/>
        <v>1</v>
      </c>
      <c r="BA128">
        <v>124</v>
      </c>
      <c r="BB128">
        <f xml:space="preserve"> H129*$BB$1^BA128</f>
        <v>-3.4828028990137147E-6</v>
      </c>
      <c r="BC128">
        <f t="shared" si="68"/>
        <v>9.19741413319746E-6</v>
      </c>
      <c r="BD128">
        <f t="shared" si="69"/>
        <v>2.803621265850054E-6</v>
      </c>
      <c r="CB128">
        <v>7.7228140450781385E-2</v>
      </c>
      <c r="CC128">
        <v>123</v>
      </c>
      <c r="CD128">
        <v>0.13410301845548991</v>
      </c>
      <c r="CG128">
        <v>1.9284201243753074E-2</v>
      </c>
      <c r="CH128">
        <v>0.14857482042872033</v>
      </c>
      <c r="CK128">
        <v>4.7700623987557408E-2</v>
      </c>
      <c r="CL128">
        <v>0.12840456185116231</v>
      </c>
    </row>
    <row r="129" spans="1:90" x14ac:dyDescent="0.25">
      <c r="A129" s="1">
        <v>44679</v>
      </c>
      <c r="B129">
        <v>170.38999899999999</v>
      </c>
      <c r="C129">
        <v>172.479996</v>
      </c>
      <c r="D129">
        <v>156.41999799999999</v>
      </c>
      <c r="E129">
        <v>164.470001</v>
      </c>
      <c r="F129">
        <v>164.470001</v>
      </c>
      <c r="G129">
        <v>3319600</v>
      </c>
      <c r="H129">
        <f xml:space="preserve"> (ENPH[[#This Row],[Close]]-E128)/E128</f>
        <v>-7.4829880370471174E-3</v>
      </c>
      <c r="K129" s="1">
        <v>44679</v>
      </c>
      <c r="L129">
        <v>256.16000400000001</v>
      </c>
      <c r="M129">
        <v>259.61999500000002</v>
      </c>
      <c r="N129">
        <v>241.554993</v>
      </c>
      <c r="O129">
        <v>254.41000399999999</v>
      </c>
      <c r="P129">
        <v>254.41000399999999</v>
      </c>
      <c r="Q129">
        <v>1331800</v>
      </c>
      <c r="R129">
        <f xml:space="preserve"> (SEDG4[[#This Row],[Close]]-O128)/O128</f>
        <v>1.9761135477972296E-2</v>
      </c>
      <c r="V129">
        <f xml:space="preserve"> X129/(2*ENPH[[#This Row],[Close]])</f>
        <v>2169.6195311938113</v>
      </c>
      <c r="W129">
        <f xml:space="preserve"> X129/(2*SEDG4[[#This Row],[Close]])</f>
        <v>1402.607290808681</v>
      </c>
      <c r="X129">
        <f t="shared" si="95"/>
        <v>713674.6529301313</v>
      </c>
      <c r="Y129">
        <f t="shared" si="72"/>
        <v>6.0237300246614497E-3</v>
      </c>
      <c r="Z129">
        <f xml:space="preserve"> V129*ENPH[[#This Row],[Close]]</f>
        <v>356837.32646506565</v>
      </c>
      <c r="AA129">
        <f xml:space="preserve"> W129*SEDG4[[#This Row],[Close]]</f>
        <v>356837.32646506565</v>
      </c>
      <c r="AB129">
        <f t="shared" si="50"/>
        <v>713674.6529301313</v>
      </c>
      <c r="AC129" t="b">
        <f t="shared" si="51"/>
        <v>1</v>
      </c>
      <c r="CB129">
        <v>-7.4829880370471174E-3</v>
      </c>
      <c r="CC129">
        <v>124</v>
      </c>
      <c r="CD129">
        <v>0.16426997731147258</v>
      </c>
      <c r="CG129">
        <v>1.9761135477972296E-2</v>
      </c>
      <c r="CH129">
        <v>0.14928226907845801</v>
      </c>
      <c r="CK129">
        <v>6.0237300246614497E-3</v>
      </c>
      <c r="CL129">
        <v>0.15564993384989551</v>
      </c>
    </row>
    <row r="132" spans="1:90" x14ac:dyDescent="0.25">
      <c r="A132" s="16" t="s">
        <v>87</v>
      </c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</row>
    <row r="133" spans="1:90" x14ac:dyDescent="0.25">
      <c r="CB133" s="2">
        <v>0.95</v>
      </c>
      <c r="CC133" s="2">
        <v>0.99</v>
      </c>
      <c r="CD133" s="3">
        <v>0.995</v>
      </c>
    </row>
    <row r="134" spans="1:90" x14ac:dyDescent="0.25">
      <c r="CA134" t="s">
        <v>95</v>
      </c>
      <c r="CB134">
        <v>32322.0629594905</v>
      </c>
      <c r="CC134">
        <v>55558.82449267256</v>
      </c>
      <c r="CD134">
        <v>60048.258796693313</v>
      </c>
    </row>
    <row r="135" spans="1:90" x14ac:dyDescent="0.25">
      <c r="A135" t="s">
        <v>66</v>
      </c>
      <c r="J135" t="s">
        <v>85</v>
      </c>
      <c r="Q135" t="s">
        <v>86</v>
      </c>
      <c r="CA135" t="s">
        <v>96</v>
      </c>
      <c r="CB135">
        <v>29555.57522192557</v>
      </c>
      <c r="CC135">
        <v>47348.841918919476</v>
      </c>
      <c r="CD135">
        <v>50304.18801366043</v>
      </c>
    </row>
    <row r="136" spans="1:90" x14ac:dyDescent="0.25">
      <c r="CA136" t="s">
        <v>97</v>
      </c>
      <c r="CB136">
        <v>57215.289857742762</v>
      </c>
      <c r="CC136">
        <v>97134.334612948791</v>
      </c>
      <c r="CD136">
        <v>104967.63622486616</v>
      </c>
    </row>
    <row r="138" spans="1:90" x14ac:dyDescent="0.25">
      <c r="A138" t="s">
        <v>67</v>
      </c>
      <c r="C138" s="4">
        <v>0.95</v>
      </c>
      <c r="D138" s="4">
        <v>0.99</v>
      </c>
      <c r="E138" s="4">
        <v>0.995</v>
      </c>
      <c r="J138" t="s">
        <v>67</v>
      </c>
      <c r="L138" s="4">
        <v>0.95</v>
      </c>
      <c r="M138" s="4">
        <v>0.99</v>
      </c>
      <c r="N138" s="4">
        <v>0.995</v>
      </c>
      <c r="Q138" t="s">
        <v>67</v>
      </c>
      <c r="S138" s="4">
        <v>0.95</v>
      </c>
      <c r="T138" s="4">
        <v>0.99</v>
      </c>
      <c r="U138" s="4">
        <v>0.995</v>
      </c>
    </row>
    <row r="139" spans="1:90" x14ac:dyDescent="0.25">
      <c r="A139" t="s">
        <v>68</v>
      </c>
      <c r="C139">
        <v>1</v>
      </c>
      <c r="J139" t="s">
        <v>68</v>
      </c>
      <c r="L139">
        <v>1</v>
      </c>
      <c r="Q139" t="s">
        <v>68</v>
      </c>
      <c r="S139">
        <v>1</v>
      </c>
    </row>
    <row r="140" spans="1:90" x14ac:dyDescent="0.25">
      <c r="A140" t="s">
        <v>69</v>
      </c>
      <c r="C140">
        <v>0.02</v>
      </c>
      <c r="J140" t="s">
        <v>69</v>
      </c>
      <c r="L140">
        <v>0.02</v>
      </c>
      <c r="Q140" t="s">
        <v>69</v>
      </c>
      <c r="S140">
        <v>0.02</v>
      </c>
    </row>
    <row r="141" spans="1:90" x14ac:dyDescent="0.25">
      <c r="A141" t="s">
        <v>70</v>
      </c>
      <c r="C141">
        <v>0.71715467545536626</v>
      </c>
      <c r="J141" t="s">
        <v>70</v>
      </c>
      <c r="L141">
        <v>0.64368559844403617</v>
      </c>
      <c r="Q141" t="s">
        <v>70</v>
      </c>
      <c r="S141">
        <v>0.65458582433605916</v>
      </c>
    </row>
    <row r="142" spans="1:90" x14ac:dyDescent="0.25">
      <c r="A142" t="s">
        <v>71</v>
      </c>
      <c r="C142">
        <v>500000</v>
      </c>
      <c r="J142" t="s">
        <v>71</v>
      </c>
      <c r="L142">
        <v>500000</v>
      </c>
      <c r="Q142" t="s">
        <v>71</v>
      </c>
      <c r="S142">
        <v>1000000</v>
      </c>
    </row>
    <row r="143" spans="1:90" x14ac:dyDescent="0.25">
      <c r="A143" t="s">
        <v>91</v>
      </c>
      <c r="C143">
        <v>1000</v>
      </c>
      <c r="J143" t="s">
        <v>91</v>
      </c>
      <c r="L143">
        <v>1000</v>
      </c>
      <c r="Q143" t="s">
        <v>91</v>
      </c>
      <c r="S143">
        <v>1000</v>
      </c>
    </row>
    <row r="144" spans="1:90" x14ac:dyDescent="0.25">
      <c r="A144" s="10"/>
      <c r="B144" s="10"/>
      <c r="C144" s="10"/>
      <c r="D144" s="10"/>
      <c r="E144" s="10"/>
      <c r="J144" s="5"/>
      <c r="K144" s="5"/>
      <c r="L144" s="5"/>
      <c r="M144" s="5"/>
      <c r="N144" s="5"/>
      <c r="Q144" s="10"/>
      <c r="R144" s="10"/>
      <c r="S144" s="10"/>
      <c r="T144" s="10"/>
      <c r="U144" s="10"/>
    </row>
    <row r="145" spans="1:10" x14ac:dyDescent="0.25">
      <c r="A145" s="5"/>
      <c r="B145" s="10"/>
      <c r="C145" s="10"/>
      <c r="D145" s="10"/>
      <c r="E145" s="10"/>
    </row>
    <row r="146" spans="1:10" x14ac:dyDescent="0.25">
      <c r="A146" s="5"/>
      <c r="B146" s="10" t="s">
        <v>102</v>
      </c>
      <c r="C146" s="10" t="s">
        <v>103</v>
      </c>
      <c r="D146" s="10" t="s">
        <v>104</v>
      </c>
      <c r="E146" t="s">
        <v>105</v>
      </c>
      <c r="F146" t="s">
        <v>106</v>
      </c>
      <c r="G146" t="s">
        <v>107</v>
      </c>
      <c r="H146" t="s">
        <v>108</v>
      </c>
      <c r="I146" t="s">
        <v>109</v>
      </c>
      <c r="J146" t="s">
        <v>110</v>
      </c>
    </row>
    <row r="147" spans="1:10" x14ac:dyDescent="0.25">
      <c r="A147">
        <v>1</v>
      </c>
      <c r="B147" cm="1">
        <f t="array" ref="B147" xml:space="preserve"> ValueAtRiskMC($C$138,A147,$C$140,$C$141,$C$142, $C$143)</f>
        <v>381300.55315040215</v>
      </c>
      <c r="C147" cm="1">
        <f t="array" ref="C147" xml:space="preserve"> ValueAtRiskMC($D$138, A147,$C$140,$C$141,$C$142, $C$143)</f>
        <v>421454.8982637485</v>
      </c>
      <c r="D147" cm="1">
        <f t="array" ref="D147" xml:space="preserve"> ValueAtRiskMC($E$138,A147,$C$140,$C$141,$C$142, $C$143)</f>
        <v>427574.76565291616</v>
      </c>
      <c r="E147" cm="1">
        <f t="array" ref="E147" xml:space="preserve"> ValueAtRiskMC($L$138,A147,$L$140,$L$141,$L$142,$L$143)</f>
        <v>352718.2593505829</v>
      </c>
      <c r="F147" cm="1">
        <f t="array" ref="F147" xml:space="preserve"> ValueAtRiskMC($M$138,A147,$L$140,$L$141,$L$142,$L$143)</f>
        <v>410357.28154236724</v>
      </c>
      <c r="G147" cm="1">
        <f t="array" ref="G147" xml:space="preserve"> ValueAtRiskMC($N$138,A147,$L$140,$L$141,$L$142,$L$143)</f>
        <v>416895.67153823696</v>
      </c>
      <c r="H147" s="10" cm="1">
        <f t="array" ref="H147" xml:space="preserve"> ValueAtRiskMC($S$138,A147,$S$140,$S$141,$S$142, $S$143)</f>
        <v>698106.79090595373</v>
      </c>
      <c r="I147" cm="1">
        <f t="array" ref="I147" xml:space="preserve"> ValueAtRiskMC($T$138,A147,$S$140,$S$141,$S$142, $S$143)</f>
        <v>830314.51836535428</v>
      </c>
      <c r="J147" cm="1">
        <f t="array" ref="J147" xml:space="preserve"> ValueAtRiskMC($U$138,A147,$S$140,$S$141,$S$142, $S$143)</f>
        <v>840328.84262608818</v>
      </c>
    </row>
    <row r="148" spans="1:10" x14ac:dyDescent="0.25">
      <c r="A148">
        <v>2</v>
      </c>
      <c r="B148" cm="1">
        <f t="array" ref="B148" xml:space="preserve"> ValueAtRiskMC($C$138,A148,$C$140,$C$141,$C$142, $C$143)</f>
        <v>535630.50315523345</v>
      </c>
      <c r="C148" cm="1">
        <f t="array" ref="C148" xml:space="preserve"> ValueAtRiskMC($D$138, A148,$C$140,$C$141,$C$142, $C$143)</f>
        <v>618162.8777475527</v>
      </c>
      <c r="D148" cm="1">
        <f t="array" ref="D148" xml:space="preserve"> ValueAtRiskMC($E$138,A148,$C$140,$C$141,$C$142, $C$143)</f>
        <v>611218.82890572678</v>
      </c>
      <c r="E148" cm="1">
        <f t="array" ref="E148" xml:space="preserve"> ValueAtRiskMC($L$138,A148,$L$140,$L$141,$L$142,$L$143)</f>
        <v>499574.71942766319</v>
      </c>
      <c r="F148" cm="1">
        <f t="array" ref="F148" xml:space="preserve"> ValueAtRiskMC($M$138,A148,$L$140,$L$141,$L$142,$L$143)</f>
        <v>569324.07254973496</v>
      </c>
      <c r="G148" cm="1">
        <f t="array" ref="G148" xml:space="preserve"> ValueAtRiskMC($N$138,A148,$L$140,$L$141,$L$142,$L$143)</f>
        <v>585757.22716242552</v>
      </c>
      <c r="H148" s="10" cm="1">
        <f t="array" ref="H148" xml:space="preserve"> ValueAtRiskMC($S$138,A148,$S$140,$S$141,$S$142, $S$143)</f>
        <v>1011239.9368344833</v>
      </c>
      <c r="I148" cm="1">
        <f t="array" ref="I148" xml:space="preserve"> ValueAtRiskMC($T$138,A148,$S$140,$S$141,$S$142, $S$143)</f>
        <v>1165375.482497148</v>
      </c>
      <c r="J148" cm="1">
        <f t="array" ref="J148" xml:space="preserve"> ValueAtRiskMC($U$138,A148,$S$140,$S$141,$S$142, $S$143)</f>
        <v>1166183.7054348229</v>
      </c>
    </row>
    <row r="149" spans="1:10" x14ac:dyDescent="0.25">
      <c r="A149">
        <v>3</v>
      </c>
      <c r="B149" cm="1">
        <f t="array" ref="B149" xml:space="preserve"> ValueAtRiskMC($C$138,A149,$C$140,$C$141,$C$142, $C$143)</f>
        <v>643284.47711002175</v>
      </c>
      <c r="C149" cm="1">
        <f t="array" ref="C149" xml:space="preserve"> ValueAtRiskMC($D$138, A149,$C$140,$C$141,$C$142, $C$143)</f>
        <v>731415.62364673242</v>
      </c>
      <c r="D149" cm="1">
        <f t="array" ref="D149" xml:space="preserve"> ValueAtRiskMC($E$138,A149,$C$140,$C$141,$C$142, $C$143)</f>
        <v>756058.35737031093</v>
      </c>
      <c r="E149" cm="1">
        <f t="array" ref="E149" xml:space="preserve"> ValueAtRiskMC($L$138,A149,$L$140,$L$141,$L$142,$L$143)</f>
        <v>616773.57157804398</v>
      </c>
      <c r="F149" cm="1">
        <f t="array" ref="F149" xml:space="preserve"> ValueAtRiskMC($M$138,A149,$L$140,$L$141,$L$142,$L$143)</f>
        <v>702241.39804422751</v>
      </c>
      <c r="G149" cm="1">
        <f t="array" ref="G149" xml:space="preserve"> ValueAtRiskMC($N$138,A149,$L$140,$L$141,$L$142,$L$143)</f>
        <v>735501.04699197644</v>
      </c>
      <c r="H149" s="10" cm="1">
        <f t="array" ref="H149" xml:space="preserve"> ValueAtRiskMC($S$138,A149,$S$140,$S$141,$S$142, $S$143)</f>
        <v>1219597.6299980234</v>
      </c>
      <c r="I149" cm="1">
        <f t="array" ref="I149" xml:space="preserve"> ValueAtRiskMC($T$138,A149,$S$140,$S$141,$S$142, $S$143)</f>
        <v>1376812.0914516465</v>
      </c>
      <c r="J149" cm="1">
        <f t="array" ref="J149" xml:space="preserve"> ValueAtRiskMC($U$138,A149,$S$140,$S$141,$S$142, $S$143)</f>
        <v>1403798.5619675044</v>
      </c>
    </row>
    <row r="150" spans="1:10" x14ac:dyDescent="0.25">
      <c r="A150">
        <v>4</v>
      </c>
      <c r="B150" cm="1">
        <f t="array" ref="B150" xml:space="preserve"> ValueAtRiskMC($C$138,A150,$C$140,$C$141,$C$142, $C$143)</f>
        <v>765949.28490699769</v>
      </c>
      <c r="C150" cm="1">
        <f t="array" ref="C150" xml:space="preserve"> ValueAtRiskMC($D$138, A150,$C$140,$C$141,$C$142, $C$143)</f>
        <v>835674.54216979048</v>
      </c>
      <c r="D150" cm="1">
        <f t="array" ref="D150" xml:space="preserve"> ValueAtRiskMC($E$138,A150,$C$140,$C$141,$C$142, $C$143)</f>
        <v>867228.36175468785</v>
      </c>
      <c r="E150" cm="1">
        <f t="array" ref="E150" xml:space="preserve"> ValueAtRiskMC($L$138,A150,$L$140,$L$141,$L$142,$L$143)</f>
        <v>698980.71331295511</v>
      </c>
      <c r="F150" cm="1">
        <f t="array" ref="F150" xml:space="preserve"> ValueAtRiskMC($M$138,A150,$L$140,$L$141,$L$142,$L$143)</f>
        <v>827173.8579806725</v>
      </c>
      <c r="G150" cm="1">
        <f t="array" ref="G150" xml:space="preserve"> ValueAtRiskMC($N$138,A150,$L$140,$L$141,$L$142,$L$143)</f>
        <v>845075.17285665346</v>
      </c>
      <c r="H150" s="10" cm="1">
        <f t="array" ref="H150" xml:space="preserve"> ValueAtRiskMC($S$138,A150,$S$140,$S$141,$S$142, $S$143)</f>
        <v>1429836.2938735741</v>
      </c>
      <c r="I150" cm="1">
        <f t="array" ref="I150" xml:space="preserve"> ValueAtRiskMC($T$138,A150,$S$140,$S$141,$S$142, $S$143)</f>
        <v>1618517.4598986486</v>
      </c>
      <c r="J150" cm="1">
        <f t="array" ref="J150" xml:space="preserve"> ValueAtRiskMC($U$138,A150,$S$140,$S$141,$S$142, $S$143)</f>
        <v>1657455.4464770171</v>
      </c>
    </row>
    <row r="151" spans="1:10" x14ac:dyDescent="0.25">
      <c r="A151">
        <v>5</v>
      </c>
      <c r="B151" cm="1">
        <f t="array" ref="B151" xml:space="preserve"> ValueAtRiskMC($C$138,A151,$C$140,$C$141,$C$142, $C$143)</f>
        <v>843282.11254006834</v>
      </c>
      <c r="C151" cm="1">
        <f t="array" ref="C151" xml:space="preserve"> ValueAtRiskMC($D$138, A151,$C$140,$C$141,$C$142, $C$143)</f>
        <v>946762.69146565581</v>
      </c>
      <c r="D151" cm="1">
        <f t="array" ref="D151" xml:space="preserve"> ValueAtRiskMC($E$138,A151,$C$140,$C$141,$C$142, $C$143)</f>
        <v>993852.7451257389</v>
      </c>
      <c r="E151" cm="1">
        <f t="array" ref="E151" xml:space="preserve"> ValueAtRiskMC($L$138,A151,$L$140,$L$141,$L$142,$L$143)</f>
        <v>811182.48697503353</v>
      </c>
      <c r="F151" cm="1">
        <f t="array" ref="F151" xml:space="preserve"> ValueAtRiskMC($M$138,A151,$L$140,$L$141,$L$142,$L$143)</f>
        <v>926409.59412846004</v>
      </c>
      <c r="G151" cm="1">
        <f t="array" ref="G151" xml:space="preserve"> ValueAtRiskMC($N$138,A151,$L$140,$L$141,$L$142,$L$143)</f>
        <v>932598.21840382274</v>
      </c>
      <c r="H151" s="10" cm="1">
        <f t="array" ref="H151" xml:space="preserve"> ValueAtRiskMC($S$138,A151,$S$140,$S$141,$S$142, $S$143)</f>
        <v>1611802.4468204177</v>
      </c>
      <c r="I151" cm="1">
        <f t="array" ref="I151" xml:space="preserve"> ValueAtRiskMC($T$138,A151,$S$140,$S$141,$S$142, $S$143)</f>
        <v>1808944.1871897224</v>
      </c>
      <c r="J151" cm="1">
        <f t="array" ref="J151" xml:space="preserve"> ValueAtRiskMC($U$138,A151,$S$140,$S$141,$S$142, $S$143)</f>
        <v>1887907.5286125839</v>
      </c>
    </row>
    <row r="152" spans="1:10" x14ac:dyDescent="0.25">
      <c r="A152">
        <v>6</v>
      </c>
      <c r="B152" cm="1">
        <f t="array" ref="B152" xml:space="preserve"> ValueAtRiskMC($C$138,A152,$C$140,$C$141,$C$142, $C$143)</f>
        <v>913382.71498437424</v>
      </c>
      <c r="C152" cm="1">
        <f t="array" ref="C152" xml:space="preserve"> ValueAtRiskMC($D$138, A152,$C$140,$C$141,$C$142, $C$143)</f>
        <v>1043766.4010274883</v>
      </c>
      <c r="D152" cm="1">
        <f t="array" ref="D152" xml:space="preserve"> ValueAtRiskMC($E$138,A152,$C$140,$C$141,$C$142, $C$143)</f>
        <v>1076388.041827688</v>
      </c>
      <c r="E152" cm="1">
        <f t="array" ref="E152" xml:space="preserve"> ValueAtRiskMC($L$138,A152,$L$140,$L$141,$L$142,$L$143)</f>
        <v>871448.76206497278</v>
      </c>
      <c r="F152" cm="1">
        <f t="array" ref="F152" xml:space="preserve"> ValueAtRiskMC($M$138,A152,$L$140,$L$141,$L$142,$L$143)</f>
        <v>988456.88220019976</v>
      </c>
      <c r="G152" cm="1">
        <f t="array" ref="G152" xml:space="preserve"> ValueAtRiskMC($N$138,A152,$L$140,$L$141,$L$142,$L$143)</f>
        <v>1054806.6281222939</v>
      </c>
      <c r="H152" s="10" cm="1">
        <f t="array" ref="H152" xml:space="preserve"> ValueAtRiskMC($S$138,A152,$S$140,$S$141,$S$142, $S$143)</f>
        <v>1785427.2362588544</v>
      </c>
      <c r="I152" cm="1">
        <f t="array" ref="I152" xml:space="preserve"> ValueAtRiskMC($T$138,A152,$S$140,$S$141,$S$142, $S$143)</f>
        <v>2030014.8706924159</v>
      </c>
      <c r="J152" cm="1">
        <f t="array" ref="J152" xml:space="preserve"> ValueAtRiskMC($U$138,A152,$S$140,$S$141,$S$142, $S$143)</f>
        <v>1981877.0584583022</v>
      </c>
    </row>
    <row r="153" spans="1:10" x14ac:dyDescent="0.25">
      <c r="A153">
        <v>7</v>
      </c>
      <c r="B153" cm="1">
        <f t="array" ref="B153" xml:space="preserve"> ValueAtRiskMC($C$138,A153,$C$140,$C$141,$C$142, $C$143)</f>
        <v>994387.14962787414</v>
      </c>
      <c r="C153" cm="1">
        <f t="array" ref="C153" xml:space="preserve"> ValueAtRiskMC($D$138, A153,$C$140,$C$141,$C$142, $C$143)</f>
        <v>1106250.6135284209</v>
      </c>
      <c r="D153" cm="1">
        <f t="array" ref="D153" xml:space="preserve"> ValueAtRiskMC($E$138,A153,$C$140,$C$141,$C$142, $C$143)</f>
        <v>1162348.1344553307</v>
      </c>
      <c r="E153" cm="1">
        <f t="array" ref="E153" xml:space="preserve"> ValueAtRiskMC($L$138,A153,$L$140,$L$141,$L$142,$L$143)</f>
        <v>901975.74555151293</v>
      </c>
      <c r="F153" cm="1">
        <f t="array" ref="F153" xml:space="preserve"> ValueAtRiskMC($M$138,A153,$L$140,$L$141,$L$142,$L$143)</f>
        <v>1084606.9628363948</v>
      </c>
      <c r="G153" cm="1">
        <f t="array" ref="G153" xml:space="preserve"> ValueAtRiskMC($N$138,A153,$L$140,$L$141,$L$142,$L$143)</f>
        <v>1138237.9240503272</v>
      </c>
      <c r="H153" s="10" cm="1">
        <f t="array" ref="H153" xml:space="preserve"> ValueAtRiskMC($S$138,A153,$S$140,$S$141,$S$142, $S$143)</f>
        <v>1900525.1724106066</v>
      </c>
      <c r="I153" cm="1">
        <f t="array" ref="I153" xml:space="preserve"> ValueAtRiskMC($T$138,A153,$S$140,$S$141,$S$142, $S$143)</f>
        <v>2169610.9744232805</v>
      </c>
      <c r="J153" cm="1">
        <f t="array" ref="J153" xml:space="preserve"> ValueAtRiskMC($U$138,A153,$S$140,$S$141,$S$142, $S$143)</f>
        <v>2214761.2079844638</v>
      </c>
    </row>
    <row r="154" spans="1:10" x14ac:dyDescent="0.25">
      <c r="A154">
        <v>8</v>
      </c>
      <c r="B154" cm="1">
        <f t="array" ref="B154" xml:space="preserve"> ValueAtRiskMC($C$138,A154,$C$140,$C$141,$C$142, $C$143)</f>
        <v>1069436.4420221937</v>
      </c>
      <c r="C154" cm="1">
        <f t="array" ref="C154" xml:space="preserve"> ValueAtRiskMC($D$138, A154,$C$140,$C$141,$C$142, $C$143)</f>
        <v>1201759.8475992878</v>
      </c>
      <c r="D154" cm="1">
        <f t="array" ref="D154" xml:space="preserve"> ValueAtRiskMC($E$138,A154,$C$140,$C$141,$C$142, $C$143)</f>
        <v>1206977.678993053</v>
      </c>
      <c r="E154" cm="1">
        <f t="array" ref="E154" xml:space="preserve"> ValueAtRiskMC($L$138,A154,$L$140,$L$141,$L$142,$L$143)</f>
        <v>994162.39207247703</v>
      </c>
      <c r="F154" cm="1">
        <f t="array" ref="F154" xml:space="preserve"> ValueAtRiskMC($M$138,A154,$L$140,$L$141,$L$142,$L$143)</f>
        <v>1176682.6924944716</v>
      </c>
      <c r="G154" cm="1">
        <f t="array" ref="G154" xml:space="preserve"> ValueAtRiskMC($N$138,A154,$L$140,$L$141,$L$142,$L$143)</f>
        <v>1176556.542380505</v>
      </c>
      <c r="H154" s="10" cm="1">
        <f t="array" ref="H154" xml:space="preserve"> ValueAtRiskMC($S$138,A154,$S$140,$S$141,$S$142, $S$143)</f>
        <v>1993313.3728062243</v>
      </c>
      <c r="I154" cm="1">
        <f t="array" ref="I154" xml:space="preserve"> ValueAtRiskMC($T$138,A154,$S$140,$S$141,$S$142, $S$143)</f>
        <v>2242613.5182847772</v>
      </c>
      <c r="J154" cm="1">
        <f t="array" ref="J154" xml:space="preserve"> ValueAtRiskMC($U$138,A154,$S$140,$S$141,$S$142, $S$143)</f>
        <v>2359570.471571099</v>
      </c>
    </row>
    <row r="155" spans="1:10" x14ac:dyDescent="0.25">
      <c r="A155">
        <v>9</v>
      </c>
      <c r="B155" cm="1">
        <f t="array" ref="B155" xml:space="preserve"> ValueAtRiskMC($C$138,A155,$C$140,$C$141,$C$142, $C$143)</f>
        <v>1126978.835338121</v>
      </c>
      <c r="C155" cm="1">
        <f t="array" ref="C155" xml:space="preserve"> ValueAtRiskMC($D$138, A155,$C$140,$C$141,$C$142, $C$143)</f>
        <v>1283184.7148849033</v>
      </c>
      <c r="D155" cm="1">
        <f t="array" ref="D155" xml:space="preserve"> ValueAtRiskMC($E$138,A155,$C$140,$C$141,$C$142, $C$143)</f>
        <v>1288319.3700905677</v>
      </c>
      <c r="E155" cm="1">
        <f t="array" ref="E155" xml:space="preserve"> ValueAtRiskMC($L$138,A155,$L$140,$L$141,$L$142,$L$143)</f>
        <v>1086352.1869927214</v>
      </c>
      <c r="F155" cm="1">
        <f t="array" ref="F155" xml:space="preserve"> ValueAtRiskMC($M$138,A155,$L$140,$L$141,$L$142,$L$143)</f>
        <v>1225752.3029538409</v>
      </c>
      <c r="G155" cm="1">
        <f t="array" ref="G155" xml:space="preserve"> ValueAtRiskMC($N$138,A155,$L$140,$L$141,$L$142,$L$143)</f>
        <v>1266793.4399774561</v>
      </c>
      <c r="H155" s="10" cm="1">
        <f t="array" ref="H155" xml:space="preserve"> ValueAtRiskMC($S$138,A155,$S$140,$S$141,$S$142, $S$143)</f>
        <v>2121043.0489627719</v>
      </c>
      <c r="I155" cm="1">
        <f t="array" ref="I155" xml:space="preserve"> ValueAtRiskMC($T$138,A155,$S$140,$S$141,$S$142, $S$143)</f>
        <v>2508876.2686787751</v>
      </c>
      <c r="J155" cm="1">
        <f t="array" ref="J155" xml:space="preserve"> ValueAtRiskMC($U$138,A155,$S$140,$S$141,$S$142, $S$143)</f>
        <v>2478145.6605737628</v>
      </c>
    </row>
    <row r="156" spans="1:10" x14ac:dyDescent="0.25">
      <c r="A156">
        <v>10</v>
      </c>
      <c r="B156" cm="1">
        <f t="array" ref="B156" xml:space="preserve"> ValueAtRiskMC($C$138,A156,$C$140,$C$141,$C$142, $C$143)</f>
        <v>1193265.0397524035</v>
      </c>
      <c r="C156" cm="1">
        <f t="array" ref="C156" xml:space="preserve"> ValueAtRiskMC($D$138, A156,$C$140,$C$141,$C$142, $C$143)</f>
        <v>1331696.0655358916</v>
      </c>
      <c r="D156" cm="1">
        <f t="array" ref="D156" xml:space="preserve"> ValueAtRiskMC($E$138,A156,$C$140,$C$141,$C$142, $C$143)</f>
        <v>1389530.5752979543</v>
      </c>
      <c r="E156" cm="1">
        <f t="array" ref="E156" xml:space="preserve"> ValueAtRiskMC($L$138,A156,$L$140,$L$141,$L$142,$L$143)</f>
        <v>1108482.1167166682</v>
      </c>
      <c r="F156" cm="1">
        <f t="array" ref="F156" xml:space="preserve"> ValueAtRiskMC($M$138,A156,$L$140,$L$141,$L$142,$L$143)</f>
        <v>1282884.3080230637</v>
      </c>
      <c r="G156" cm="1">
        <f t="array" ref="G156" xml:space="preserve"> ValueAtRiskMC($N$138,A156,$L$140,$L$141,$L$142,$L$143)</f>
        <v>1342899.7153464712</v>
      </c>
      <c r="H156" s="10" cm="1">
        <f t="array" ref="H156" xml:space="preserve"> ValueAtRiskMC($S$138,A156,$S$140,$S$141,$S$142, $S$143)</f>
        <v>2285006.8239412811</v>
      </c>
      <c r="I156" cm="1">
        <f t="array" ref="I156" xml:space="preserve"> ValueAtRiskMC($T$138,A156,$S$140,$S$141,$S$142, $S$143)</f>
        <v>2514536.131100419</v>
      </c>
      <c r="J156" cm="1">
        <f t="array" ref="J156" xml:space="preserve"> ValueAtRiskMC($U$138,A156,$S$140,$S$141,$S$142, $S$143)</f>
        <v>2687517.7565992582</v>
      </c>
    </row>
    <row r="157" spans="1:10" x14ac:dyDescent="0.25">
      <c r="A157">
        <v>11</v>
      </c>
      <c r="B157" cm="1">
        <f t="array" ref="B157" xml:space="preserve"> ValueAtRiskMC($C$138,A157,$C$140,$C$141,$C$142, $C$143)</f>
        <v>1277389.6374527402</v>
      </c>
      <c r="C157" cm="1">
        <f t="array" ref="C157" xml:space="preserve"> ValueAtRiskMC($D$138, A157,$C$140,$C$141,$C$142, $C$143)</f>
        <v>1395094.8841278376</v>
      </c>
      <c r="D157" cm="1">
        <f t="array" ref="D157" xml:space="preserve"> ValueAtRiskMC($E$138,A157,$C$140,$C$141,$C$142, $C$143)</f>
        <v>1464542.4477863377</v>
      </c>
      <c r="E157" cm="1">
        <f t="array" ref="E157" xml:space="preserve"> ValueAtRiskMC($L$138,A157,$L$140,$L$141,$L$142,$L$143)</f>
        <v>1161507.0917191792</v>
      </c>
      <c r="F157" cm="1">
        <f t="array" ref="F157" xml:space="preserve"> ValueAtRiskMC($M$138,A157,$L$140,$L$141,$L$142,$L$143)</f>
        <v>1351137.6844121399</v>
      </c>
      <c r="G157" cm="1">
        <f t="array" ref="G157" xml:space="preserve"> ValueAtRiskMC($N$138,A157,$L$140,$L$141,$L$142,$L$143)</f>
        <v>1369191.4688769556</v>
      </c>
      <c r="H157" s="10" cm="1">
        <f t="array" ref="H157" xml:space="preserve"> ValueAtRiskMC($S$138,A157,$S$140,$S$141,$S$142, $S$143)</f>
        <v>2378078.0631810664</v>
      </c>
      <c r="I157" cm="1">
        <f t="array" ref="I157" xml:space="preserve"> ValueAtRiskMC($T$138,A157,$S$140,$S$141,$S$142, $S$143)</f>
        <v>2722720.3545544734</v>
      </c>
      <c r="J157" cm="1">
        <f t="array" ref="J157" xml:space="preserve"> ValueAtRiskMC($U$138,A157,$S$140,$S$141,$S$142, $S$143)</f>
        <v>2766088.3926722943</v>
      </c>
    </row>
    <row r="158" spans="1:10" x14ac:dyDescent="0.25">
      <c r="A158">
        <v>12</v>
      </c>
      <c r="B158" cm="1">
        <f t="array" ref="B158" xml:space="preserve"> ValueAtRiskMC($C$138,A158,$C$140,$C$141,$C$142, $C$143)</f>
        <v>1322564.5485494048</v>
      </c>
      <c r="C158" cm="1">
        <f t="array" ref="C158" xml:space="preserve"> ValueAtRiskMC($D$138, A158,$C$140,$C$141,$C$142, $C$143)</f>
        <v>1501644.7421093676</v>
      </c>
      <c r="D158" cm="1">
        <f t="array" ref="D158" xml:space="preserve"> ValueAtRiskMC($E$138,A158,$C$140,$C$141,$C$142, $C$143)</f>
        <v>1487016.1350567876</v>
      </c>
      <c r="E158" cm="1">
        <f t="array" ref="E158" xml:space="preserve"> ValueAtRiskMC($L$138,A158,$L$140,$L$141,$L$142,$L$143)</f>
        <v>1236006.1313338256</v>
      </c>
      <c r="F158" cm="1">
        <f t="array" ref="F158" xml:space="preserve"> ValueAtRiskMC($M$138,A158,$L$140,$L$141,$L$142,$L$143)</f>
        <v>1436203.391886743</v>
      </c>
      <c r="G158" cm="1">
        <f t="array" ref="G158" xml:space="preserve"> ValueAtRiskMC($N$138,A158,$L$140,$L$141,$L$142,$L$143)</f>
        <v>1466978.2093880819</v>
      </c>
      <c r="H158" s="10" cm="1">
        <f t="array" ref="H158" xml:space="preserve"> ValueAtRiskMC($S$138,A158,$S$140,$S$141,$S$142, $S$143)</f>
        <v>2519804.447881802</v>
      </c>
      <c r="I158" cm="1">
        <f t="array" ref="I158" xml:space="preserve"> ValueAtRiskMC($T$138,A158,$S$140,$S$141,$S$142, $S$143)</f>
        <v>2871999.8134922348</v>
      </c>
      <c r="J158" cm="1">
        <f t="array" ref="J158" xml:space="preserve"> ValueAtRiskMC($U$138,A158,$S$140,$S$141,$S$142, $S$143)</f>
        <v>2890182.778430101</v>
      </c>
    </row>
    <row r="159" spans="1:10" x14ac:dyDescent="0.25">
      <c r="A159">
        <v>13</v>
      </c>
      <c r="B159" cm="1">
        <f t="array" ref="B159" xml:space="preserve"> ValueAtRiskMC($C$138,A159,$C$140,$C$141,$C$142, $C$143)</f>
        <v>1309162.1862781339</v>
      </c>
      <c r="C159" cm="1">
        <f t="array" ref="C159" xml:space="preserve"> ValueAtRiskMC($D$138, A159,$C$140,$C$141,$C$142, $C$143)</f>
        <v>1499983.1983328173</v>
      </c>
      <c r="D159" cm="1">
        <f t="array" ref="D159" xml:space="preserve"> ValueAtRiskMC($E$138,A159,$C$140,$C$141,$C$142, $C$143)</f>
        <v>1606642.1654614797</v>
      </c>
      <c r="E159" cm="1">
        <f t="array" ref="E159" xml:space="preserve"> ValueAtRiskMC($L$138,A159,$L$140,$L$141,$L$142,$L$143)</f>
        <v>1238229.7491774098</v>
      </c>
      <c r="F159" cm="1">
        <f t="array" ref="F159" xml:space="preserve"> ValueAtRiskMC($M$138,A159,$L$140,$L$141,$L$142,$L$143)</f>
        <v>1429616.9892745302</v>
      </c>
      <c r="G159" cm="1">
        <f t="array" ref="G159" xml:space="preserve"> ValueAtRiskMC($N$138,A159,$L$140,$L$141,$L$142,$L$143)</f>
        <v>1524685.691183029</v>
      </c>
      <c r="H159" s="10" cm="1">
        <f t="array" ref="H159" xml:space="preserve"> ValueAtRiskMC($S$138,A159,$S$140,$S$141,$S$142, $S$143)</f>
        <v>2592709.5228506722</v>
      </c>
      <c r="I159" cm="1">
        <f t="array" ref="I159" xml:space="preserve"> ValueAtRiskMC($T$138,A159,$S$140,$S$141,$S$142, $S$143)</f>
        <v>2971921.0486673438</v>
      </c>
      <c r="J159" cm="1">
        <f t="array" ref="J159" xml:space="preserve"> ValueAtRiskMC($U$138,A159,$S$140,$S$141,$S$142, $S$143)</f>
        <v>2959363.201782071</v>
      </c>
    </row>
    <row r="160" spans="1:10" x14ac:dyDescent="0.25">
      <c r="A160">
        <v>14</v>
      </c>
      <c r="B160" cm="1">
        <f t="array" ref="B160" xml:space="preserve"> ValueAtRiskMC($C$138,A160,$C$140,$C$141,$C$142, $C$143)</f>
        <v>1384501.7910935706</v>
      </c>
      <c r="C160" cm="1">
        <f t="array" ref="C160" xml:space="preserve"> ValueAtRiskMC($D$138, A160,$C$140,$C$141,$C$142, $C$143)</f>
        <v>1620602.5596877981</v>
      </c>
      <c r="D160" cm="1">
        <f t="array" ref="D160" xml:space="preserve"> ValueAtRiskMC($E$138,A160,$C$140,$C$141,$C$142, $C$143)</f>
        <v>1673627.2589365607</v>
      </c>
      <c r="E160" cm="1">
        <f t="array" ref="E160" xml:space="preserve"> ValueAtRiskMC($L$138,A160,$L$140,$L$141,$L$142,$L$143)</f>
        <v>1354539.8024988128</v>
      </c>
      <c r="F160" cm="1">
        <f t="array" ref="F160" xml:space="preserve"> ValueAtRiskMC($M$138,A160,$L$140,$L$141,$L$142,$L$143)</f>
        <v>1505509.7338794072</v>
      </c>
      <c r="G160" cm="1">
        <f t="array" ref="G160" xml:space="preserve"> ValueAtRiskMC($N$138,A160,$L$140,$L$141,$L$142,$L$143)</f>
        <v>1526988.2272056628</v>
      </c>
      <c r="H160" s="10" cm="1">
        <f t="array" ref="H160" xml:space="preserve"> ValueAtRiskMC($S$138,A160,$S$140,$S$141,$S$142, $S$143)</f>
        <v>2680688.8100468577</v>
      </c>
      <c r="I160" cm="1">
        <f t="array" ref="I160" xml:space="preserve"> ValueAtRiskMC($T$138,A160,$S$140,$S$141,$S$142, $S$143)</f>
        <v>3057380.8659602064</v>
      </c>
      <c r="J160" cm="1">
        <f t="array" ref="J160" xml:space="preserve"> ValueAtRiskMC($U$138,A160,$S$140,$S$141,$S$142, $S$143)</f>
        <v>3133236.7057900839</v>
      </c>
    </row>
    <row r="161" spans="1:10" x14ac:dyDescent="0.25">
      <c r="A161">
        <v>15</v>
      </c>
      <c r="B161" cm="1">
        <f t="array" ref="B161" xml:space="preserve"> ValueAtRiskMC($C$138,A161,$C$140,$C$141,$C$142, $C$143)</f>
        <v>1456704.8456324621</v>
      </c>
      <c r="C161" cm="1">
        <f t="array" ref="C161" xml:space="preserve"> ValueAtRiskMC($D$138, A161,$C$140,$C$141,$C$142, $C$143)</f>
        <v>1680428.9314543656</v>
      </c>
      <c r="D161" cm="1">
        <f t="array" ref="D161" xml:space="preserve"> ValueAtRiskMC($E$138,A161,$C$140,$C$141,$C$142, $C$143)</f>
        <v>1696711.6902280978</v>
      </c>
      <c r="E161" cm="1">
        <f t="array" ref="E161" xml:space="preserve"> ValueAtRiskMC($L$138,A161,$L$140,$L$141,$L$142,$L$143)</f>
        <v>1367238.204818326</v>
      </c>
      <c r="F161" cm="1">
        <f t="array" ref="F161" xml:space="preserve"> ValueAtRiskMC($M$138,A161,$L$140,$L$141,$L$142,$L$143)</f>
        <v>1577525.9654060283</v>
      </c>
      <c r="G161" cm="1">
        <f t="array" ref="G161" xml:space="preserve"> ValueAtRiskMC($N$138,A161,$L$140,$L$141,$L$142,$L$143)</f>
        <v>1612015.493918838</v>
      </c>
      <c r="H161" s="10" cm="1">
        <f t="array" ref="H161" xml:space="preserve"> ValueAtRiskMC($S$138,A161,$S$140,$S$141,$S$142, $S$143)</f>
        <v>2799499.2483613202</v>
      </c>
      <c r="I161" cm="1">
        <f t="array" ref="I161" xml:space="preserve"> ValueAtRiskMC($T$138,A161,$S$140,$S$141,$S$142, $S$143)</f>
        <v>3162342.2974895653</v>
      </c>
      <c r="J161" cm="1">
        <f t="array" ref="J161" xml:space="preserve"> ValueAtRiskMC($U$138,A161,$S$140,$S$141,$S$142, $S$143)</f>
        <v>3345251.9566753646</v>
      </c>
    </row>
    <row r="162" spans="1:10" x14ac:dyDescent="0.25">
      <c r="A162">
        <v>16</v>
      </c>
      <c r="B162" cm="1">
        <f t="array" ref="B162" xml:space="preserve"> ValueAtRiskMC($C$138,A162,$C$140,$C$141,$C$142, $C$143)</f>
        <v>1507105.8099482681</v>
      </c>
      <c r="C162" cm="1">
        <f t="array" ref="C162" xml:space="preserve"> ValueAtRiskMC($D$138, A162,$C$140,$C$141,$C$142, $C$143)</f>
        <v>1734691.6656762157</v>
      </c>
      <c r="D162" cm="1">
        <f t="array" ref="D162" xml:space="preserve"> ValueAtRiskMC($E$138,A162,$C$140,$C$141,$C$142, $C$143)</f>
        <v>1807309.2993901633</v>
      </c>
      <c r="E162" cm="1">
        <f t="array" ref="E162" xml:space="preserve"> ValueAtRiskMC($L$138,A162,$L$140,$L$141,$L$142,$L$143)</f>
        <v>1473760.1682442713</v>
      </c>
      <c r="F162" cm="1">
        <f t="array" ref="F162" xml:space="preserve"> ValueAtRiskMC($M$138,A162,$L$140,$L$141,$L$142,$L$143)</f>
        <v>1672452.4720683522</v>
      </c>
      <c r="G162" cm="1">
        <f t="array" ref="G162" xml:space="preserve"> ValueAtRiskMC($N$138,A162,$L$140,$L$141,$L$142,$L$143)</f>
        <v>1755821.9600647998</v>
      </c>
      <c r="H162" s="10" cm="1">
        <f t="array" ref="H162" xml:space="preserve"> ValueAtRiskMC($S$138,A162,$S$140,$S$141,$S$142, $S$143)</f>
        <v>2797314.1155389147</v>
      </c>
      <c r="I162" cm="1">
        <f t="array" ref="I162" xml:space="preserve"> ValueAtRiskMC($T$138,A162,$S$140,$S$141,$S$142, $S$143)</f>
        <v>3246841.7825724091</v>
      </c>
      <c r="J162" cm="1">
        <f t="array" ref="J162" xml:space="preserve"> ValueAtRiskMC($U$138,A162,$S$140,$S$141,$S$142, $S$143)</f>
        <v>3375054.9992377036</v>
      </c>
    </row>
    <row r="163" spans="1:10" x14ac:dyDescent="0.25">
      <c r="A163">
        <v>17</v>
      </c>
      <c r="B163" cm="1">
        <f t="array" ref="B163" xml:space="preserve"> ValueAtRiskMC($C$138,A163,$C$140,$C$141,$C$142, $C$143)</f>
        <v>1581982.7548448564</v>
      </c>
      <c r="C163" cm="1">
        <f t="array" ref="C163" xml:space="preserve"> ValueAtRiskMC($D$138, A163,$C$140,$C$141,$C$142, $C$143)</f>
        <v>1762047.4053072291</v>
      </c>
      <c r="D163" cm="1">
        <f t="array" ref="D163" xml:space="preserve"> ValueAtRiskMC($E$138,A163,$C$140,$C$141,$C$142, $C$143)</f>
        <v>1793734.2377064121</v>
      </c>
      <c r="E163" cm="1">
        <f t="array" ref="E163" xml:space="preserve"> ValueAtRiskMC($L$138,A163,$L$140,$L$141,$L$142,$L$143)</f>
        <v>1486389.0792136963</v>
      </c>
      <c r="F163" cm="1">
        <f t="array" ref="F163" xml:space="preserve"> ValueAtRiskMC($M$138,A163,$L$140,$L$141,$L$142,$L$143)</f>
        <v>1684938.53739718</v>
      </c>
      <c r="G163" cm="1">
        <f t="array" ref="G163" xml:space="preserve"> ValueAtRiskMC($N$138,A163,$L$140,$L$141,$L$142,$L$143)</f>
        <v>1701797.9108327997</v>
      </c>
      <c r="H163" s="10" cm="1">
        <f t="array" ref="H163" xml:space="preserve"> ValueAtRiskMC($S$138,A163,$S$140,$S$141,$S$142, $S$143)</f>
        <v>2944920.2838341198</v>
      </c>
      <c r="I163" cm="1">
        <f t="array" ref="I163" xml:space="preserve"> ValueAtRiskMC($T$138,A163,$S$140,$S$141,$S$142, $S$143)</f>
        <v>3407542.212083552</v>
      </c>
      <c r="J163" cm="1">
        <f t="array" ref="J163" xml:space="preserve"> ValueAtRiskMC($U$138,A163,$S$140,$S$141,$S$142, $S$143)</f>
        <v>3518154.1739039179</v>
      </c>
    </row>
    <row r="164" spans="1:10" x14ac:dyDescent="0.25">
      <c r="A164">
        <v>18</v>
      </c>
      <c r="B164" cm="1">
        <f t="array" ref="B164" xml:space="preserve"> ValueAtRiskMC($C$138,A164,$C$140,$C$141,$C$142, $C$143)</f>
        <v>1596236.0062786932</v>
      </c>
      <c r="C164" cm="1">
        <f t="array" ref="C164" xml:space="preserve"> ValueAtRiskMC($D$138, A164,$C$140,$C$141,$C$142, $C$143)</f>
        <v>1778903.8705940235</v>
      </c>
      <c r="D164" cm="1">
        <f t="array" ref="D164" xml:space="preserve"> ValueAtRiskMC($E$138,A164,$C$140,$C$141,$C$142, $C$143)</f>
        <v>1827188.6125992152</v>
      </c>
      <c r="E164" cm="1">
        <f t="array" ref="E164" xml:space="preserve"> ValueAtRiskMC($L$138,A164,$L$140,$L$141,$L$142,$L$143)</f>
        <v>1494910.6104185088</v>
      </c>
      <c r="F164" cm="1">
        <f t="array" ref="F164" xml:space="preserve"> ValueAtRiskMC($M$138,A164,$L$140,$L$141,$L$142,$L$143)</f>
        <v>1711380.3998458378</v>
      </c>
      <c r="G164" cm="1">
        <f t="array" ref="G164" xml:space="preserve"> ValueAtRiskMC($N$138,A164,$L$140,$L$141,$L$142,$L$143)</f>
        <v>1781219.94565564</v>
      </c>
      <c r="H164" s="10" cm="1">
        <f t="array" ref="H164" xml:space="preserve"> ValueAtRiskMC($S$138,A164,$S$140,$S$141,$S$142, $S$143)</f>
        <v>2921253.974776281</v>
      </c>
      <c r="I164" cm="1">
        <f t="array" ref="I164" xml:space="preserve"> ValueAtRiskMC($T$138,A164,$S$140,$S$141,$S$142, $S$143)</f>
        <v>3528586.3041290022</v>
      </c>
      <c r="J164" cm="1">
        <f t="array" ref="J164" xml:space="preserve"> ValueAtRiskMC($U$138,A164,$S$140,$S$141,$S$142, $S$143)</f>
        <v>3483710.6235706257</v>
      </c>
    </row>
    <row r="165" spans="1:10" x14ac:dyDescent="0.25">
      <c r="A165">
        <v>19</v>
      </c>
      <c r="B165" cm="1">
        <f t="array" ref="B165" xml:space="preserve"> ValueAtRiskMC($C$138,A165,$C$140,$C$141,$C$142, $C$143)</f>
        <v>1641387.7538194649</v>
      </c>
      <c r="C165" cm="1">
        <f t="array" ref="C165" xml:space="preserve"> ValueAtRiskMC($D$138, A165,$C$140,$C$141,$C$142, $C$143)</f>
        <v>1832819.4079704403</v>
      </c>
      <c r="D165" cm="1">
        <f t="array" ref="D165" xml:space="preserve"> ValueAtRiskMC($E$138,A165,$C$140,$C$141,$C$142, $C$143)</f>
        <v>1918924.7832860807</v>
      </c>
      <c r="E165" cm="1">
        <f t="array" ref="E165" xml:space="preserve"> ValueAtRiskMC($L$138,A165,$L$140,$L$141,$L$142,$L$143)</f>
        <v>1573889.0105318315</v>
      </c>
      <c r="F165" cm="1">
        <f t="array" ref="F165" xml:space="preserve"> ValueAtRiskMC($M$138,A165,$L$140,$L$141,$L$142,$L$143)</f>
        <v>1788721.0009918103</v>
      </c>
      <c r="G165" cm="1">
        <f t="array" ref="G165" xml:space="preserve"> ValueAtRiskMC($N$138,A165,$L$140,$L$141,$L$142,$L$143)</f>
        <v>1823705.83555364</v>
      </c>
      <c r="H165" s="10" cm="1">
        <f t="array" ref="H165" xml:space="preserve"> ValueAtRiskMC($S$138,A165,$S$140,$S$141,$S$142, $S$143)</f>
        <v>3194745.4027109444</v>
      </c>
      <c r="I165" cm="1">
        <f t="array" ref="I165" xml:space="preserve"> ValueAtRiskMC($T$138,A165,$S$140,$S$141,$S$142, $S$143)</f>
        <v>3527167.7717666873</v>
      </c>
      <c r="J165" cm="1">
        <f t="array" ref="J165" xml:space="preserve"> ValueAtRiskMC($U$138,A165,$S$140,$S$141,$S$142, $S$143)</f>
        <v>3725405.9322524583</v>
      </c>
    </row>
    <row r="166" spans="1:10" x14ac:dyDescent="0.25">
      <c r="A166">
        <v>20</v>
      </c>
      <c r="B166" cm="1">
        <f t="array" ref="B166" xml:space="preserve"> ValueAtRiskMC($C$138,A166,$C$140,$C$141,$C$142, $C$143)</f>
        <v>1699622.6747276094</v>
      </c>
      <c r="C166" cm="1">
        <f t="array" ref="C166" xml:space="preserve"> ValueAtRiskMC($D$138, A166,$C$140,$C$141,$C$142, $C$143)</f>
        <v>1860745.8058943045</v>
      </c>
      <c r="D166" cm="1">
        <f t="array" ref="D166" xml:space="preserve"> ValueAtRiskMC($E$138,A166,$C$140,$C$141,$C$142, $C$143)</f>
        <v>1955507.0129688638</v>
      </c>
      <c r="E166" cm="1">
        <f t="array" ref="E166" xml:space="preserve"> ValueAtRiskMC($L$138,A166,$L$140,$L$141,$L$142,$L$143)</f>
        <v>1642847.0780248656</v>
      </c>
      <c r="F166" cm="1">
        <f t="array" ref="F166" xml:space="preserve"> ValueAtRiskMC($M$138,A166,$L$140,$L$141,$L$142,$L$143)</f>
        <v>1794229.4573978649</v>
      </c>
      <c r="G166" cm="1">
        <f t="array" ref="G166" xml:space="preserve"> ValueAtRiskMC($N$138,A166,$L$140,$L$141,$L$142,$L$143)</f>
        <v>1887834.7208984646</v>
      </c>
      <c r="H166" s="10" cm="1">
        <f t="array" ref="H166" xml:space="preserve"> ValueAtRiskMC($S$138,A166,$S$140,$S$141,$S$142, $S$143)</f>
        <v>3235589.1764821955</v>
      </c>
      <c r="I166" cm="1">
        <f t="array" ref="I166" xml:space="preserve"> ValueAtRiskMC($T$138,A166,$S$140,$S$141,$S$142, $S$143)</f>
        <v>3746007.1412515729</v>
      </c>
      <c r="J166" cm="1">
        <f t="array" ref="J166" xml:space="preserve"> ValueAtRiskMC($U$138,A166,$S$140,$S$141,$S$142, $S$143)</f>
        <v>3780616.865162719</v>
      </c>
    </row>
    <row r="167" spans="1:10" x14ac:dyDescent="0.25">
      <c r="A167">
        <v>21</v>
      </c>
      <c r="B167" cm="1">
        <f t="array" ref="B167" xml:space="preserve"> ValueAtRiskMC($C$138,A167,$C$140,$C$141,$C$142, $C$143)</f>
        <v>1697935.1707055096</v>
      </c>
      <c r="C167" cm="1">
        <f t="array" ref="C167" xml:space="preserve"> ValueAtRiskMC($D$138, A167,$C$140,$C$141,$C$142, $C$143)</f>
        <v>1956428.9068023299</v>
      </c>
      <c r="D167" cm="1">
        <f t="array" ref="D167" xml:space="preserve"> ValueAtRiskMC($E$138,A167,$C$140,$C$141,$C$142, $C$143)</f>
        <v>1975534.0213074351</v>
      </c>
      <c r="E167" cm="1">
        <f t="array" ref="E167" xml:space="preserve"> ValueAtRiskMC($L$138,A167,$L$140,$L$141,$L$142,$L$143)</f>
        <v>1615390.0189030725</v>
      </c>
      <c r="F167" cm="1">
        <f t="array" ref="F167" xml:space="preserve"> ValueAtRiskMC($M$138,A167,$L$140,$L$141,$L$142,$L$143)</f>
        <v>1850804.0835359914</v>
      </c>
      <c r="G167" cm="1">
        <f t="array" ref="G167" xml:space="preserve"> ValueAtRiskMC($N$138,A167,$L$140,$L$141,$L$142,$L$143)</f>
        <v>1882852.5848455976</v>
      </c>
      <c r="H167" s="10" cm="1">
        <f t="array" ref="H167" xml:space="preserve"> ValueAtRiskMC($S$138,A167,$S$140,$S$141,$S$142, $S$143)</f>
        <v>3292199.5118153631</v>
      </c>
      <c r="I167" cm="1">
        <f t="array" ref="I167" xml:space="preserve"> ValueAtRiskMC($T$138,A167,$S$140,$S$141,$S$142, $S$143)</f>
        <v>3754676.3116169875</v>
      </c>
      <c r="J167" cm="1">
        <f t="array" ref="J167" xml:space="preserve"> ValueAtRiskMC($U$138,A167,$S$140,$S$141,$S$142, $S$143)</f>
        <v>3817229.4914998878</v>
      </c>
    </row>
    <row r="168" spans="1:10" x14ac:dyDescent="0.25">
      <c r="A168">
        <v>22</v>
      </c>
      <c r="B168" cm="1">
        <f t="array" ref="B168" xml:space="preserve"> ValueAtRiskMC($C$138,A168,$C$140,$C$141,$C$142, $C$143)</f>
        <v>1728893.5070207184</v>
      </c>
      <c r="C168" cm="1">
        <f t="array" ref="C168" xml:space="preserve"> ValueAtRiskMC($D$138, A168,$C$140,$C$141,$C$142, $C$143)</f>
        <v>2004351.1028400972</v>
      </c>
      <c r="D168" cm="1">
        <f t="array" ref="D168" xml:space="preserve"> ValueAtRiskMC($E$138,A168,$C$140,$C$141,$C$142, $C$143)</f>
        <v>2058634.2444452411</v>
      </c>
      <c r="E168" cm="1">
        <f t="array" ref="E168" xml:space="preserve"> ValueAtRiskMC($L$138,A168,$L$140,$L$141,$L$142,$L$143)</f>
        <v>1651435.2221681923</v>
      </c>
      <c r="F168" cm="1">
        <f t="array" ref="F168" xml:space="preserve"> ValueAtRiskMC($M$138,A168,$L$140,$L$141,$L$142,$L$143)</f>
        <v>1884033.4983440647</v>
      </c>
      <c r="G168" cm="1">
        <f t="array" ref="G168" xml:space="preserve"> ValueAtRiskMC($N$138,A168,$L$140,$L$141,$L$142,$L$143)</f>
        <v>1987174.9443579204</v>
      </c>
      <c r="H168" s="10" cm="1">
        <f t="array" ref="H168" xml:space="preserve"> ValueAtRiskMC($S$138,A168,$S$140,$S$141,$S$142, $S$143)</f>
        <v>3336312.2388721351</v>
      </c>
      <c r="I168" cm="1">
        <f t="array" ref="I168" xml:space="preserve"> ValueAtRiskMC($T$138,A168,$S$140,$S$141,$S$142, $S$143)</f>
        <v>3732540.8230695855</v>
      </c>
      <c r="J168" cm="1">
        <f t="array" ref="J168" xml:space="preserve"> ValueAtRiskMC($U$138,A168,$S$140,$S$141,$S$142, $S$143)</f>
        <v>3990911.0327091534</v>
      </c>
    </row>
    <row r="169" spans="1:10" x14ac:dyDescent="0.25">
      <c r="A169">
        <v>23</v>
      </c>
      <c r="B169" cm="1">
        <f t="array" ref="B169" xml:space="preserve"> ValueAtRiskMC($C$138,A169,$C$140,$C$141,$C$142, $C$143)</f>
        <v>1801881.339248664</v>
      </c>
      <c r="C169" cm="1">
        <f t="array" ref="C169" xml:space="preserve"> ValueAtRiskMC($D$138, A169,$C$140,$C$141,$C$142, $C$143)</f>
        <v>2039152.7394148253</v>
      </c>
      <c r="D169" cm="1">
        <f t="array" ref="D169" xml:space="preserve"> ValueAtRiskMC($E$138,A169,$C$140,$C$141,$C$142, $C$143)</f>
        <v>2092185.7083211867</v>
      </c>
      <c r="E169" cm="1">
        <f t="array" ref="E169" xml:space="preserve"> ValueAtRiskMC($L$138,A169,$L$140,$L$141,$L$142,$L$143)</f>
        <v>1667524.1107684344</v>
      </c>
      <c r="F169" cm="1">
        <f t="array" ref="F169" xml:space="preserve"> ValueAtRiskMC($M$138,A169,$L$140,$L$141,$L$142,$L$143)</f>
        <v>1935564.903118829</v>
      </c>
      <c r="G169" cm="1">
        <f t="array" ref="G169" xml:space="preserve"> ValueAtRiskMC($N$138,A169,$L$140,$L$141,$L$142,$L$143)</f>
        <v>2039831.5872894668</v>
      </c>
      <c r="H169" s="10" cm="1">
        <f t="array" ref="H169" xml:space="preserve"> ValueAtRiskMC($S$138,A169,$S$140,$S$141,$S$142, $S$143)</f>
        <v>3443885.993547597</v>
      </c>
      <c r="I169" cm="1">
        <f t="array" ref="I169" xml:space="preserve"> ValueAtRiskMC($T$138,A169,$S$140,$S$141,$S$142, $S$143)</f>
        <v>3846519.3478860846</v>
      </c>
      <c r="J169" cm="1">
        <f t="array" ref="J169" xml:space="preserve"> ValueAtRiskMC($U$138,A169,$S$140,$S$141,$S$142, $S$143)</f>
        <v>3944853.6541097905</v>
      </c>
    </row>
    <row r="170" spans="1:10" x14ac:dyDescent="0.25">
      <c r="A170">
        <v>24</v>
      </c>
      <c r="B170" cm="1">
        <f t="array" ref="B170" xml:space="preserve"> ValueAtRiskMC($C$138,A170,$C$140,$C$141,$C$142, $C$143)</f>
        <v>1890151.0964619382</v>
      </c>
      <c r="C170" cm="1">
        <f t="array" ref="C170" xml:space="preserve"> ValueAtRiskMC($D$138, A170,$C$140,$C$141,$C$142, $C$143)</f>
        <v>2121555.3577995296</v>
      </c>
      <c r="D170" cm="1">
        <f t="array" ref="D170" xml:space="preserve"> ValueAtRiskMC($E$138,A170,$C$140,$C$141,$C$142, $C$143)</f>
        <v>2148001.808461376</v>
      </c>
      <c r="E170" cm="1">
        <f t="array" ref="E170" xml:space="preserve"> ValueAtRiskMC($L$138,A170,$L$140,$L$141,$L$142,$L$143)</f>
        <v>1765821.0267965486</v>
      </c>
      <c r="F170" cm="1">
        <f t="array" ref="F170" xml:space="preserve"> ValueAtRiskMC($M$138,A170,$L$140,$L$141,$L$142,$L$143)</f>
        <v>1992473.8074842982</v>
      </c>
      <c r="G170" cm="1">
        <f t="array" ref="G170" xml:space="preserve"> ValueAtRiskMC($N$138,A170,$L$140,$L$141,$L$142,$L$143)</f>
        <v>2120448.52808592</v>
      </c>
      <c r="H170" s="10" cm="1">
        <f t="array" ref="H170" xml:space="preserve"> ValueAtRiskMC($S$138,A170,$S$140,$S$141,$S$142, $S$143)</f>
        <v>3524598.3887359072</v>
      </c>
      <c r="I170" cm="1">
        <f t="array" ref="I170" xml:space="preserve"> ValueAtRiskMC($T$138,A170,$S$140,$S$141,$S$142, $S$143)</f>
        <v>3959480.1050415132</v>
      </c>
      <c r="J170" cm="1">
        <f t="array" ref="J170" xml:space="preserve"> ValueAtRiskMC($U$138,A170,$S$140,$S$141,$S$142, $S$143)</f>
        <v>4303107.114490943</v>
      </c>
    </row>
    <row r="171" spans="1:10" x14ac:dyDescent="0.25">
      <c r="A171">
        <v>25</v>
      </c>
      <c r="B171" cm="1">
        <f t="array" ref="B171" xml:space="preserve"> ValueAtRiskMC($C$138,A171,$C$140,$C$141,$C$142, $C$143)</f>
        <v>1896687.1200421802</v>
      </c>
      <c r="C171" cm="1">
        <f t="array" ref="C171" xml:space="preserve"> ValueAtRiskMC($D$138, A171,$C$140,$C$141,$C$142, $C$143)</f>
        <v>2176447.9800493685</v>
      </c>
      <c r="D171" cm="1">
        <f t="array" ref="D171" xml:space="preserve"> ValueAtRiskMC($E$138,A171,$C$140,$C$141,$C$142, $C$143)</f>
        <v>2180595.264451833</v>
      </c>
      <c r="E171" cm="1">
        <f t="array" ref="E171" xml:space="preserve"> ValueAtRiskMC($L$138,A171,$L$140,$L$141,$L$142,$L$143)</f>
        <v>1791328.2708506256</v>
      </c>
      <c r="F171" cm="1">
        <f t="array" ref="F171" xml:space="preserve"> ValueAtRiskMC($M$138,A171,$L$140,$L$141,$L$142,$L$143)</f>
        <v>2003404.3534516147</v>
      </c>
      <c r="G171" cm="1">
        <f t="array" ref="G171" xml:space="preserve"> ValueAtRiskMC($N$138,A171,$L$140,$L$141,$L$142,$L$143)</f>
        <v>2089182.0523902066</v>
      </c>
      <c r="H171" s="10" cm="1">
        <f t="array" ref="H171" xml:space="preserve"> ValueAtRiskMC($S$138,A171,$S$140,$S$141,$S$142, $S$143)</f>
        <v>3653368.4517251961</v>
      </c>
      <c r="I171" cm="1">
        <f t="array" ref="I171" xml:space="preserve"> ValueAtRiskMC($T$138,A171,$S$140,$S$141,$S$142, $S$143)</f>
        <v>4021943.2722801846</v>
      </c>
      <c r="J171" cm="1">
        <f t="array" ref="J171" xml:space="preserve"> ValueAtRiskMC($U$138,A171,$S$140,$S$141,$S$142, $S$143)</f>
        <v>4016051.9094484746</v>
      </c>
    </row>
    <row r="172" spans="1:10" x14ac:dyDescent="0.25">
      <c r="A172">
        <v>26</v>
      </c>
      <c r="B172" cm="1">
        <f t="array" ref="B172" xml:space="preserve"> ValueAtRiskMC($C$138,A172,$C$140,$C$141,$C$142, $C$143)</f>
        <v>1924168.0072948581</v>
      </c>
      <c r="C172" cm="1">
        <f t="array" ref="C172" xml:space="preserve"> ValueAtRiskMC($D$138, A172,$C$140,$C$141,$C$142, $C$143)</f>
        <v>2211213.7610781896</v>
      </c>
      <c r="D172" cm="1">
        <f t="array" ref="D172" xml:space="preserve"> ValueAtRiskMC($E$138,A172,$C$140,$C$141,$C$142, $C$143)</f>
        <v>2264795.613726337</v>
      </c>
      <c r="E172" cm="1">
        <f t="array" ref="E172" xml:space="preserve"> ValueAtRiskMC($L$138,A172,$L$140,$L$141,$L$142,$L$143)</f>
        <v>1774858.9097192646</v>
      </c>
      <c r="F172" cm="1">
        <f t="array" ref="F172" xml:space="preserve"> ValueAtRiskMC($M$138,A172,$L$140,$L$141,$L$142,$L$143)</f>
        <v>2064940.8131717953</v>
      </c>
      <c r="G172" cm="1">
        <f t="array" ref="G172" xml:space="preserve"> ValueAtRiskMC($N$138,A172,$L$140,$L$141,$L$142,$L$143)</f>
        <v>2199429.6396078356</v>
      </c>
      <c r="H172" s="10" cm="1">
        <f t="array" ref="H172" xml:space="preserve"> ValueAtRiskMC($S$138,A172,$S$140,$S$141,$S$142, $S$143)</f>
        <v>3573864.4298641798</v>
      </c>
      <c r="I172" cm="1">
        <f t="array" ref="I172" xml:space="preserve"> ValueAtRiskMC($T$138,A172,$S$140,$S$141,$S$142, $S$143)</f>
        <v>4199887.6570668258</v>
      </c>
      <c r="J172" cm="1">
        <f t="array" ref="J172" xml:space="preserve"> ValueAtRiskMC($U$138,A172,$S$140,$S$141,$S$142, $S$143)</f>
        <v>4351628.9397100536</v>
      </c>
    </row>
    <row r="173" spans="1:10" x14ac:dyDescent="0.25">
      <c r="A173">
        <v>27</v>
      </c>
      <c r="B173" cm="1">
        <f t="array" ref="B173" xml:space="preserve"> ValueAtRiskMC($C$138,A173,$C$140,$C$141,$C$142, $C$143)</f>
        <v>1934851.6516574628</v>
      </c>
      <c r="C173" cm="1">
        <f t="array" ref="C173" xml:space="preserve"> ValueAtRiskMC($D$138, A173,$C$140,$C$141,$C$142, $C$143)</f>
        <v>2218072.1178319212</v>
      </c>
      <c r="D173" cm="1">
        <f t="array" ref="D173" xml:space="preserve"> ValueAtRiskMC($E$138,A173,$C$140,$C$141,$C$142, $C$143)</f>
        <v>2226455.3247247422</v>
      </c>
      <c r="E173" cm="1">
        <f t="array" ref="E173" xml:space="preserve"> ValueAtRiskMC($L$138,A173,$L$140,$L$141,$L$142,$L$143)</f>
        <v>1900868.8546438364</v>
      </c>
      <c r="F173" cm="1">
        <f t="array" ref="F173" xml:space="preserve"> ValueAtRiskMC($M$138,A173,$L$140,$L$141,$L$142,$L$143)</f>
        <v>2203170.2597894212</v>
      </c>
      <c r="G173" cm="1">
        <f t="array" ref="G173" xml:space="preserve"> ValueAtRiskMC($N$138,A173,$L$140,$L$141,$L$142,$L$143)</f>
        <v>2196964.3426360325</v>
      </c>
      <c r="H173" s="10" cm="1">
        <f t="array" ref="H173" xml:space="preserve"> ValueAtRiskMC($S$138,A173,$S$140,$S$141,$S$142, $S$143)</f>
        <v>3707840.1558021051</v>
      </c>
      <c r="I173" cm="1">
        <f t="array" ref="I173" xml:space="preserve"> ValueAtRiskMC($T$138,A173,$S$140,$S$141,$S$142, $S$143)</f>
        <v>4186298.2809680514</v>
      </c>
      <c r="J173" cm="1">
        <f t="array" ref="J173" xml:space="preserve"> ValueAtRiskMC($U$138,A173,$S$140,$S$141,$S$142, $S$143)</f>
        <v>4330724.5031345552</v>
      </c>
    </row>
    <row r="174" spans="1:10" x14ac:dyDescent="0.25">
      <c r="A174">
        <v>28</v>
      </c>
      <c r="B174" cm="1">
        <f t="array" ref="B174" xml:space="preserve"> ValueAtRiskMC($C$138,A174,$C$140,$C$141,$C$142, $C$143)</f>
        <v>2007793.7456029619</v>
      </c>
      <c r="C174" cm="1">
        <f t="array" ref="C174" xml:space="preserve"> ValueAtRiskMC($D$138, A174,$C$140,$C$141,$C$142, $C$143)</f>
        <v>2248303.0272118249</v>
      </c>
      <c r="D174" cm="1">
        <f t="array" ref="D174" xml:space="preserve"> ValueAtRiskMC($E$138,A174,$C$140,$C$141,$C$142, $C$143)</f>
        <v>2230627.9565928224</v>
      </c>
      <c r="E174" cm="1">
        <f t="array" ref="E174" xml:space="preserve"> ValueAtRiskMC($L$138,A174,$L$140,$L$141,$L$142,$L$143)</f>
        <v>1853853.9400568418</v>
      </c>
      <c r="F174" cm="1">
        <f t="array" ref="F174" xml:space="preserve"> ValueAtRiskMC($M$138,A174,$L$140,$L$141,$L$142,$L$143)</f>
        <v>2063137.6861036452</v>
      </c>
      <c r="G174" cm="1">
        <f t="array" ref="G174" xml:space="preserve"> ValueAtRiskMC($N$138,A174,$L$140,$L$141,$L$142,$L$143)</f>
        <v>2234159.1813052981</v>
      </c>
      <c r="H174" s="10" cm="1">
        <f t="array" ref="H174" xml:space="preserve"> ValueAtRiskMC($S$138,A174,$S$140,$S$141,$S$142, $S$143)</f>
        <v>3877336.547584048</v>
      </c>
      <c r="I174" cm="1">
        <f t="array" ref="I174" xml:space="preserve"> ValueAtRiskMC($T$138,A174,$S$140,$S$141,$S$142, $S$143)</f>
        <v>4310560.3951995056</v>
      </c>
      <c r="J174" cm="1">
        <f t="array" ref="J174" xml:space="preserve"> ValueAtRiskMC($U$138,A174,$S$140,$S$141,$S$142, $S$143)</f>
        <v>4480618.8593077492</v>
      </c>
    </row>
    <row r="175" spans="1:10" x14ac:dyDescent="0.25">
      <c r="A175">
        <v>29</v>
      </c>
      <c r="B175" cm="1">
        <f t="array" ref="B175" xml:space="preserve"> ValueAtRiskMC($C$138,A175,$C$140,$C$141,$C$142, $C$143)</f>
        <v>1973513.2603624752</v>
      </c>
      <c r="C175" cm="1">
        <f t="array" ref="C175" xml:space="preserve"> ValueAtRiskMC($D$138, A175,$C$140,$C$141,$C$142, $C$143)</f>
        <v>2222167.4640568434</v>
      </c>
      <c r="D175" cm="1">
        <f t="array" ref="D175" xml:space="preserve"> ValueAtRiskMC($E$138,A175,$C$140,$C$141,$C$142, $C$143)</f>
        <v>2381589.3909936319</v>
      </c>
      <c r="E175" cm="1">
        <f t="array" ref="E175" xml:space="preserve"> ValueAtRiskMC($L$138,A175,$L$140,$L$141,$L$142,$L$143)</f>
        <v>1899259.4462299426</v>
      </c>
      <c r="F175" cm="1">
        <f t="array" ref="F175" xml:space="preserve"> ValueAtRiskMC($M$138,A175,$L$140,$L$141,$L$142,$L$143)</f>
        <v>2182229.472739723</v>
      </c>
      <c r="G175" cm="1">
        <f t="array" ref="G175" xml:space="preserve"> ValueAtRiskMC($N$138,A175,$L$140,$L$141,$L$142,$L$143)</f>
        <v>2278339.0243606595</v>
      </c>
      <c r="H175" s="10" cm="1">
        <f t="array" ref="H175" xml:space="preserve"> ValueAtRiskMC($S$138,A175,$S$140,$S$141,$S$142, $S$143)</f>
        <v>4007910.8133126791</v>
      </c>
      <c r="I175" cm="1">
        <f t="array" ref="I175" xml:space="preserve"> ValueAtRiskMC($T$138,A175,$S$140,$S$141,$S$142, $S$143)</f>
        <v>4414467.1287447223</v>
      </c>
      <c r="J175" cm="1">
        <f t="array" ref="J175" xml:space="preserve"> ValueAtRiskMC($U$138,A175,$S$140,$S$141,$S$142, $S$143)</f>
        <v>4522650.408824631</v>
      </c>
    </row>
    <row r="176" spans="1:10" x14ac:dyDescent="0.25">
      <c r="A176">
        <v>30</v>
      </c>
      <c r="B176" cm="1">
        <f t="array" ref="B176" xml:space="preserve"> ValueAtRiskMC($C$138,A176,$C$140,$C$141,$C$142, $C$143)</f>
        <v>2060827.5736507867</v>
      </c>
      <c r="C176" cm="1">
        <f t="array" ref="C176" xml:space="preserve"> ValueAtRiskMC($D$138, A176,$C$140,$C$141,$C$142, $C$143)</f>
        <v>2317964.5520069296</v>
      </c>
      <c r="D176" cm="1">
        <f t="array" ref="D176" xml:space="preserve"> ValueAtRiskMC($E$138,A176,$C$140,$C$141,$C$142, $C$143)</f>
        <v>2391773.9150884291</v>
      </c>
      <c r="E176" cm="1">
        <f t="array" ref="E176" xml:space="preserve"> ValueAtRiskMC($L$138,A176,$L$140,$L$141,$L$142,$L$143)</f>
        <v>1982259.5881190686</v>
      </c>
      <c r="F176" cm="1">
        <f t="array" ref="F176" xml:space="preserve"> ValueAtRiskMC($M$138,A176,$L$140,$L$141,$L$142,$L$143)</f>
        <v>2172541.0077248137</v>
      </c>
      <c r="G176" cm="1">
        <f t="array" ref="G176" xml:space="preserve"> ValueAtRiskMC($N$138,A176,$L$140,$L$141,$L$142,$L$143)</f>
        <v>2270799.4513636315</v>
      </c>
      <c r="H176" s="10" cm="1">
        <f t="array" ref="H176" xml:space="preserve"> ValueAtRiskMC($S$138,A176,$S$140,$S$141,$S$142, $S$143)</f>
        <v>3999636.8712561009</v>
      </c>
      <c r="I176" cm="1">
        <f t="array" ref="I176" xml:space="preserve"> ValueAtRiskMC($T$138,A176,$S$140,$S$141,$S$142, $S$143)</f>
        <v>4434223.5044643553</v>
      </c>
      <c r="J176" cm="1">
        <f t="array" ref="J176" xml:space="preserve"> ValueAtRiskMC($U$138,A176,$S$140,$S$141,$S$142, $S$143)</f>
        <v>4671389.4992857045</v>
      </c>
    </row>
    <row r="177" spans="1:10" x14ac:dyDescent="0.25">
      <c r="A177">
        <v>31</v>
      </c>
      <c r="B177" cm="1">
        <f t="array" ref="B177" xml:space="preserve"> ValueAtRiskMC($C$138,A177,$C$140,$C$141,$C$142, $C$143)</f>
        <v>2043348.9824874634</v>
      </c>
      <c r="C177" cm="1">
        <f t="array" ref="C177" xml:space="preserve"> ValueAtRiskMC($D$138, A177,$C$140,$C$141,$C$142, $C$143)</f>
        <v>2351538.2972705439</v>
      </c>
      <c r="D177" cm="1">
        <f t="array" ref="D177" xml:space="preserve"> ValueAtRiskMC($E$138,A177,$C$140,$C$141,$C$142, $C$143)</f>
        <v>2425352.9170083841</v>
      </c>
      <c r="E177" cm="1">
        <f t="array" ref="E177" xml:space="preserve"> ValueAtRiskMC($L$138,A177,$L$140,$L$141,$L$142,$L$143)</f>
        <v>1997192.0509027927</v>
      </c>
      <c r="F177" cm="1">
        <f t="array" ref="F177" xml:space="preserve"> ValueAtRiskMC($M$138,A177,$L$140,$L$141,$L$142,$L$143)</f>
        <v>2262121.0115953432</v>
      </c>
      <c r="G177" cm="1">
        <f t="array" ref="G177" xml:space="preserve"> ValueAtRiskMC($N$138,A177,$L$140,$L$141,$L$142,$L$143)</f>
        <v>2374556.2074990878</v>
      </c>
      <c r="H177" s="10" cm="1">
        <f t="array" ref="H177" xml:space="preserve"> ValueAtRiskMC($S$138,A177,$S$140,$S$141,$S$142, $S$143)</f>
        <v>3929051.8648690851</v>
      </c>
      <c r="I177" cm="1">
        <f t="array" ref="I177" xml:space="preserve"> ValueAtRiskMC($T$138,A177,$S$140,$S$141,$S$142, $S$143)</f>
        <v>4527190.4279924026</v>
      </c>
      <c r="J177" cm="1">
        <f t="array" ref="J177" xml:space="preserve"> ValueAtRiskMC($U$138,A177,$S$140,$S$141,$S$142, $S$143)</f>
        <v>4708028.7726227241</v>
      </c>
    </row>
    <row r="178" spans="1:10" x14ac:dyDescent="0.25">
      <c r="A178">
        <v>32</v>
      </c>
      <c r="B178" cm="1">
        <f t="array" ref="B178" xml:space="preserve"> ValueAtRiskMC($C$138,A178,$C$140,$C$141,$C$142, $C$143)</f>
        <v>2097336.3328415845</v>
      </c>
      <c r="C178" cm="1">
        <f t="array" ref="C178" xml:space="preserve"> ValueAtRiskMC($D$138, A178,$C$140,$C$141,$C$142, $C$143)</f>
        <v>2445203.686090637</v>
      </c>
      <c r="D178" cm="1">
        <f t="array" ref="D178" xml:space="preserve"> ValueAtRiskMC($E$138,A178,$C$140,$C$141,$C$142, $C$143)</f>
        <v>2459330.7108965782</v>
      </c>
      <c r="E178" cm="1">
        <f t="array" ref="E178" xml:space="preserve"> ValueAtRiskMC($L$138,A178,$L$140,$L$141,$L$142,$L$143)</f>
        <v>2030670.242615321</v>
      </c>
      <c r="F178" cm="1">
        <f t="array" ref="F178" xml:space="preserve"> ValueAtRiskMC($M$138,A178,$L$140,$L$141,$L$142,$L$143)</f>
        <v>2284802.3241753918</v>
      </c>
      <c r="G178" cm="1">
        <f t="array" ref="G178" xml:space="preserve"> ValueAtRiskMC($N$138,A178,$L$140,$L$141,$L$142,$L$143)</f>
        <v>2303747.0262954421</v>
      </c>
      <c r="H178" s="10" cm="1">
        <f t="array" ref="H178" xml:space="preserve"> ValueAtRiskMC($S$138,A178,$S$140,$S$141,$S$142, $S$143)</f>
        <v>4095232.4707820304</v>
      </c>
      <c r="I178" cm="1">
        <f t="array" ref="I178" xml:space="preserve"> ValueAtRiskMC($T$138,A178,$S$140,$S$141,$S$142, $S$143)</f>
        <v>4576040.4408698175</v>
      </c>
      <c r="J178" cm="1">
        <f t="array" ref="J178" xml:space="preserve"> ValueAtRiskMC($U$138,A178,$S$140,$S$141,$S$142, $S$143)</f>
        <v>4795973.4648665506</v>
      </c>
    </row>
    <row r="179" spans="1:10" x14ac:dyDescent="0.25">
      <c r="A179">
        <v>33</v>
      </c>
      <c r="B179" cm="1">
        <f t="array" ref="B179" xml:space="preserve"> ValueAtRiskMC($C$138,A179,$C$140,$C$141,$C$142, $C$143)</f>
        <v>2198752.8257606006</v>
      </c>
      <c r="C179" cm="1">
        <f t="array" ref="C179" xml:space="preserve"> ValueAtRiskMC($D$138, A179,$C$140,$C$141,$C$142, $C$143)</f>
        <v>2448811.6002234588</v>
      </c>
      <c r="D179" cm="1">
        <f t="array" ref="D179" xml:space="preserve"> ValueAtRiskMC($E$138,A179,$C$140,$C$141,$C$142, $C$143)</f>
        <v>2512388.4362992365</v>
      </c>
      <c r="E179" cm="1">
        <f t="array" ref="E179" xml:space="preserve"> ValueAtRiskMC($L$138,A179,$L$140,$L$141,$L$142,$L$143)</f>
        <v>2064662.8822646495</v>
      </c>
      <c r="F179" cm="1">
        <f t="array" ref="F179" xml:space="preserve"> ValueAtRiskMC($M$138,A179,$L$140,$L$141,$L$142,$L$143)</f>
        <v>2274383.5686708083</v>
      </c>
      <c r="G179" cm="1">
        <f t="array" ref="G179" xml:space="preserve"> ValueAtRiskMC($N$138,A179,$L$140,$L$141,$L$142,$L$143)</f>
        <v>2334212.0697064712</v>
      </c>
      <c r="H179" s="10" cm="1">
        <f t="array" ref="H179" xml:space="preserve"> ValueAtRiskMC($S$138,A179,$S$140,$S$141,$S$142, $S$143)</f>
        <v>4061903.8077835822</v>
      </c>
      <c r="I179" cm="1">
        <f t="array" ref="I179" xml:space="preserve"> ValueAtRiskMC($T$138,A179,$S$140,$S$141,$S$142, $S$143)</f>
        <v>4786035.2911912221</v>
      </c>
      <c r="J179" cm="1">
        <f t="array" ref="J179" xml:space="preserve"> ValueAtRiskMC($U$138,A179,$S$140,$S$141,$S$142, $S$143)</f>
        <v>4789021.4705720628</v>
      </c>
    </row>
    <row r="180" spans="1:10" x14ac:dyDescent="0.25">
      <c r="A180">
        <v>34</v>
      </c>
      <c r="B180" cm="1">
        <f t="array" ref="B180" xml:space="preserve"> ValueAtRiskMC($C$138,A180,$C$140,$C$141,$C$142, $C$143)</f>
        <v>2191584.61349269</v>
      </c>
      <c r="C180" cm="1">
        <f t="array" ref="C180" xml:space="preserve"> ValueAtRiskMC($D$138, A180,$C$140,$C$141,$C$142, $C$143)</f>
        <v>2489859.7347485754</v>
      </c>
      <c r="D180" cm="1">
        <f t="array" ref="D180" xml:space="preserve"> ValueAtRiskMC($E$138,A180,$C$140,$C$141,$C$142, $C$143)</f>
        <v>2530213.2802463826</v>
      </c>
      <c r="E180" cm="1">
        <f t="array" ref="E180" xml:space="preserve"> ValueAtRiskMC($L$138,A180,$L$140,$L$141,$L$142,$L$143)</f>
        <v>2054789.6164452841</v>
      </c>
      <c r="F180" cm="1">
        <f t="array" ref="F180" xml:space="preserve"> ValueAtRiskMC($M$138,A180,$L$140,$L$141,$L$142,$L$143)</f>
        <v>2397108.7631467427</v>
      </c>
      <c r="G180" cm="1">
        <f t="array" ref="G180" xml:space="preserve"> ValueAtRiskMC($N$138,A180,$L$140,$L$141,$L$142,$L$143)</f>
        <v>2423287.010416375</v>
      </c>
      <c r="H180" s="10" cm="1">
        <f t="array" ref="H180" xml:space="preserve"> ValueAtRiskMC($S$138,A180,$S$140,$S$141,$S$142, $S$143)</f>
        <v>4211963.345009164</v>
      </c>
      <c r="I180" cm="1">
        <f t="array" ref="I180" xml:space="preserve"> ValueAtRiskMC($T$138,A180,$S$140,$S$141,$S$142, $S$143)</f>
        <v>4948499.0780892186</v>
      </c>
      <c r="J180" cm="1">
        <f t="array" ref="J180" xml:space="preserve"> ValueAtRiskMC($U$138,A180,$S$140,$S$141,$S$142, $S$143)</f>
        <v>4854057.1060487116</v>
      </c>
    </row>
    <row r="181" spans="1:10" x14ac:dyDescent="0.25">
      <c r="A181">
        <v>35</v>
      </c>
      <c r="B181" cm="1">
        <f t="array" ref="B181" xml:space="preserve"> ValueAtRiskMC($C$138,A181,$C$140,$C$141,$C$142, $C$143)</f>
        <v>2248262.9155741376</v>
      </c>
      <c r="C181" cm="1">
        <f t="array" ref="C181" xml:space="preserve"> ValueAtRiskMC($D$138, A181,$C$140,$C$141,$C$142, $C$143)</f>
        <v>2498875.819241202</v>
      </c>
      <c r="D181" cm="1">
        <f t="array" ref="D181" xml:space="preserve"> ValueAtRiskMC($E$138,A181,$C$140,$C$141,$C$142, $C$143)</f>
        <v>2569041.6744546709</v>
      </c>
      <c r="E181" cm="1">
        <f t="array" ref="E181" xml:space="preserve"> ValueAtRiskMC($L$138,A181,$L$140,$L$141,$L$142,$L$143)</f>
        <v>2141899.3800023794</v>
      </c>
      <c r="F181" cm="1">
        <f t="array" ref="F181" xml:space="preserve"> ValueAtRiskMC($M$138,A181,$L$140,$L$141,$L$142,$L$143)</f>
        <v>2355121.8923146217</v>
      </c>
      <c r="G181" cm="1">
        <f t="array" ref="G181" xml:space="preserve"> ValueAtRiskMC($N$138,A181,$L$140,$L$141,$L$142,$L$143)</f>
        <v>2531065.776767259</v>
      </c>
      <c r="H181" s="10" cm="1">
        <f t="array" ref="H181" xml:space="preserve"> ValueAtRiskMC($S$138,A181,$S$140,$S$141,$S$142, $S$143)</f>
        <v>4217278.8809456965</v>
      </c>
      <c r="I181" cm="1">
        <f t="array" ref="I181" xml:space="preserve"> ValueAtRiskMC($T$138,A181,$S$140,$S$141,$S$142, $S$143)</f>
        <v>4912834.5586381257</v>
      </c>
      <c r="J181" cm="1">
        <f t="array" ref="J181" xml:space="preserve"> ValueAtRiskMC($U$138,A181,$S$140,$S$141,$S$142, $S$143)</f>
        <v>5018971.6059262566</v>
      </c>
    </row>
    <row r="182" spans="1:10" x14ac:dyDescent="0.25">
      <c r="A182">
        <v>36</v>
      </c>
      <c r="B182" cm="1">
        <f t="array" ref="B182" xml:space="preserve"> ValueAtRiskMC($C$138,A182,$C$140,$C$141,$C$142, $C$143)</f>
        <v>2269165.5888189715</v>
      </c>
      <c r="C182" cm="1">
        <f t="array" ref="C182" xml:space="preserve"> ValueAtRiskMC($D$138, A182,$C$140,$C$141,$C$142, $C$143)</f>
        <v>2583528.7612387231</v>
      </c>
      <c r="D182" cm="1">
        <f t="array" ref="D182" xml:space="preserve"> ValueAtRiskMC($E$138,A182,$C$140,$C$141,$C$142, $C$143)</f>
        <v>2643695.7177685215</v>
      </c>
      <c r="E182" cm="1">
        <f t="array" ref="E182" xml:space="preserve"> ValueAtRiskMC($L$138,A182,$L$140,$L$141,$L$142,$L$143)</f>
        <v>2091314.9271092096</v>
      </c>
      <c r="F182" cm="1">
        <f t="array" ref="F182" xml:space="preserve"> ValueAtRiskMC($M$138,A182,$L$140,$L$141,$L$142,$L$143)</f>
        <v>2472920.8466013856</v>
      </c>
      <c r="G182" cm="1">
        <f t="array" ref="G182" xml:space="preserve"> ValueAtRiskMC($N$138,A182,$L$140,$L$141,$L$142,$L$143)</f>
        <v>2511206.3024163418</v>
      </c>
      <c r="H182" s="10" cm="1">
        <f t="array" ref="H182" xml:space="preserve"> ValueAtRiskMC($S$138,A182,$S$140,$S$141,$S$142, $S$143)</f>
        <v>4396044.7456847616</v>
      </c>
      <c r="I182" cm="1">
        <f t="array" ref="I182" xml:space="preserve"> ValueAtRiskMC($T$138,A182,$S$140,$S$141,$S$142, $S$143)</f>
        <v>4888999.0373929627</v>
      </c>
      <c r="J182" cm="1">
        <f t="array" ref="J182" xml:space="preserve"> ValueAtRiskMC($U$138,A182,$S$140,$S$141,$S$142, $S$143)</f>
        <v>5014954.7628950868</v>
      </c>
    </row>
    <row r="183" spans="1:10" x14ac:dyDescent="0.25">
      <c r="A183">
        <v>37</v>
      </c>
      <c r="B183" cm="1">
        <f t="array" ref="B183" xml:space="preserve"> ValueAtRiskMC($C$138,A183,$C$140,$C$141,$C$142, $C$143)</f>
        <v>2252467.8114360329</v>
      </c>
      <c r="C183" cm="1">
        <f t="array" ref="C183" xml:space="preserve"> ValueAtRiskMC($D$138, A183,$C$140,$C$141,$C$142, $C$143)</f>
        <v>2591099.5794750783</v>
      </c>
      <c r="D183" cm="1">
        <f t="array" ref="D183" xml:space="preserve"> ValueAtRiskMC($E$138,A183,$C$140,$C$141,$C$142, $C$143)</f>
        <v>2669308.8407832868</v>
      </c>
      <c r="E183" cm="1">
        <f t="array" ref="E183" xml:space="preserve"> ValueAtRiskMC($L$138,A183,$L$140,$L$141,$L$142,$L$143)</f>
        <v>2102133.4784614746</v>
      </c>
      <c r="F183" cm="1">
        <f t="array" ref="F183" xml:space="preserve"> ValueAtRiskMC($M$138,A183,$L$140,$L$141,$L$142,$L$143)</f>
        <v>2462084.3963988912</v>
      </c>
      <c r="G183" cm="1">
        <f t="array" ref="G183" xml:space="preserve"> ValueAtRiskMC($N$138,A183,$L$140,$L$141,$L$142,$L$143)</f>
        <v>2496280.4085760936</v>
      </c>
      <c r="H183" s="10" cm="1">
        <f t="array" ref="H183" xml:space="preserve"> ValueAtRiskMC($S$138,A183,$S$140,$S$141,$S$142, $S$143)</f>
        <v>4389718.5470605409</v>
      </c>
      <c r="I183" cm="1">
        <f t="array" ref="I183" xml:space="preserve"> ValueAtRiskMC($T$138,A183,$S$140,$S$141,$S$142, $S$143)</f>
        <v>5124685.6465719482</v>
      </c>
      <c r="J183" cm="1">
        <f t="array" ref="J183" xml:space="preserve"> ValueAtRiskMC($U$138,A183,$S$140,$S$141,$S$142, $S$143)</f>
        <v>5249012.6504817782</v>
      </c>
    </row>
    <row r="184" spans="1:10" x14ac:dyDescent="0.25">
      <c r="A184">
        <v>38</v>
      </c>
      <c r="B184" cm="1">
        <f t="array" ref="B184" xml:space="preserve"> ValueAtRiskMC($C$138,A184,$C$140,$C$141,$C$142, $C$143)</f>
        <v>2374549.7755708224</v>
      </c>
      <c r="C184" cm="1">
        <f t="array" ref="C184" xml:space="preserve"> ValueAtRiskMC($D$138, A184,$C$140,$C$141,$C$142, $C$143)</f>
        <v>2638054.8920112876</v>
      </c>
      <c r="D184" cm="1">
        <f t="array" ref="D184" xml:space="preserve"> ValueAtRiskMC($E$138,A184,$C$140,$C$141,$C$142, $C$143)</f>
        <v>2702144.3749120329</v>
      </c>
      <c r="E184" cm="1">
        <f t="array" ref="E184" xml:space="preserve"> ValueAtRiskMC($L$138,A184,$L$140,$L$141,$L$142,$L$143)</f>
        <v>2173480.7202680483</v>
      </c>
      <c r="F184" cm="1">
        <f t="array" ref="F184" xml:space="preserve"> ValueAtRiskMC($M$138,A184,$L$140,$L$141,$L$142,$L$143)</f>
        <v>2455886.6915409206</v>
      </c>
      <c r="G184" cm="1">
        <f t="array" ref="G184" xml:space="preserve"> ValueAtRiskMC($N$138,A184,$L$140,$L$141,$L$142,$L$143)</f>
        <v>2556677.8006889089</v>
      </c>
      <c r="H184" s="10" cm="1">
        <f t="array" ref="H184" xml:space="preserve"> ValueAtRiskMC($S$138,A184,$S$140,$S$141,$S$142, $S$143)</f>
        <v>4535130.3669533553</v>
      </c>
      <c r="I184" cm="1">
        <f t="array" ref="I184" xml:space="preserve"> ValueAtRiskMC($T$138,A184,$S$140,$S$141,$S$142, $S$143)</f>
        <v>4952072.7914480716</v>
      </c>
      <c r="J184" cm="1">
        <f t="array" ref="J184" xml:space="preserve"> ValueAtRiskMC($U$138,A184,$S$140,$S$141,$S$142, $S$143)</f>
        <v>5257647.6574547077</v>
      </c>
    </row>
    <row r="185" spans="1:10" x14ac:dyDescent="0.25">
      <c r="A185">
        <v>39</v>
      </c>
      <c r="B185" cm="1">
        <f t="array" ref="B185" xml:space="preserve"> ValueAtRiskMC($C$138,A185,$C$140,$C$141,$C$142, $C$143)</f>
        <v>2390590.1894551017</v>
      </c>
      <c r="C185" cm="1">
        <f t="array" ref="C185" xml:space="preserve"> ValueAtRiskMC($D$138, A185,$C$140,$C$141,$C$142, $C$143)</f>
        <v>2625702.4861035496</v>
      </c>
      <c r="D185" cm="1">
        <f t="array" ref="D185" xml:space="preserve"> ValueAtRiskMC($E$138,A185,$C$140,$C$141,$C$142, $C$143)</f>
        <v>2778163.9510336206</v>
      </c>
      <c r="E185" cm="1">
        <f t="array" ref="E185" xml:space="preserve"> ValueAtRiskMC($L$138,A185,$L$140,$L$141,$L$142,$L$143)</f>
        <v>2305276.7696182253</v>
      </c>
      <c r="F185" cm="1">
        <f t="array" ref="F185" xml:space="preserve"> ValueAtRiskMC($M$138,A185,$L$140,$L$141,$L$142,$L$143)</f>
        <v>2519685.5972838039</v>
      </c>
      <c r="G185" cm="1">
        <f t="array" ref="G185" xml:space="preserve"> ValueAtRiskMC($N$138,A185,$L$140,$L$141,$L$142,$L$143)</f>
        <v>2560676.5575860459</v>
      </c>
      <c r="H185" s="10" cm="1">
        <f t="array" ref="H185" xml:space="preserve"> ValueAtRiskMC($S$138,A185,$S$140,$S$141,$S$142, $S$143)</f>
        <v>4439289.2875766996</v>
      </c>
      <c r="I185" cm="1">
        <f t="array" ref="I185" xml:space="preserve"> ValueAtRiskMC($T$138,A185,$S$140,$S$141,$S$142, $S$143)</f>
        <v>5043376.5238713939</v>
      </c>
      <c r="J185" cm="1">
        <f t="array" ref="J185" xml:space="preserve"> ValueAtRiskMC($U$138,A185,$S$140,$S$141,$S$142, $S$143)</f>
        <v>5210560.4866346484</v>
      </c>
    </row>
    <row r="186" spans="1:10" x14ac:dyDescent="0.25">
      <c r="A186">
        <v>40</v>
      </c>
      <c r="B186" cm="1">
        <f t="array" ref="B186" xml:space="preserve"> ValueAtRiskMC($C$138,A186,$C$140,$C$141,$C$142, $C$143)</f>
        <v>2363129.7527292855</v>
      </c>
      <c r="C186" cm="1">
        <f t="array" ref="C186" xml:space="preserve"> ValueAtRiskMC($D$138, A186,$C$140,$C$141,$C$142, $C$143)</f>
        <v>2655849.5533198738</v>
      </c>
      <c r="D186" cm="1">
        <f t="array" ref="D186" xml:space="preserve"> ValueAtRiskMC($E$138,A186,$C$140,$C$141,$C$142, $C$143)</f>
        <v>2792817.7447914281</v>
      </c>
      <c r="E186" cm="1">
        <f t="array" ref="E186" xml:space="preserve"> ValueAtRiskMC($L$138,A186,$L$140,$L$141,$L$142,$L$143)</f>
        <v>2284491.8843106483</v>
      </c>
      <c r="F186" cm="1">
        <f t="array" ref="F186" xml:space="preserve"> ValueAtRiskMC($M$138,A186,$L$140,$L$141,$L$142,$L$143)</f>
        <v>2574996.3249155208</v>
      </c>
      <c r="G186" cm="1">
        <f t="array" ref="G186" xml:space="preserve"> ValueAtRiskMC($N$138,A186,$L$140,$L$141,$L$142,$L$143)</f>
        <v>2709549.1792114507</v>
      </c>
      <c r="H186" s="10" cm="1">
        <f t="array" ref="H186" xml:space="preserve"> ValueAtRiskMC($S$138,A186,$S$140,$S$141,$S$142, $S$143)</f>
        <v>4493001.6812277054</v>
      </c>
      <c r="I186" cm="1">
        <f t="array" ref="I186" xml:space="preserve"> ValueAtRiskMC($T$138,A186,$S$140,$S$141,$S$142, $S$143)</f>
        <v>5063206.488160531</v>
      </c>
      <c r="J186" cm="1">
        <f t="array" ref="J186" xml:space="preserve"> ValueAtRiskMC($U$138,A186,$S$140,$S$141,$S$142, $S$143)</f>
        <v>5298184.2480802592</v>
      </c>
    </row>
    <row r="187" spans="1:10" x14ac:dyDescent="0.25">
      <c r="A187">
        <v>41</v>
      </c>
      <c r="B187" cm="1">
        <f t="array" ref="B187" xml:space="preserve"> ValueAtRiskMC($C$138,A187,$C$140,$C$141,$C$142, $C$143)</f>
        <v>2393940.705553568</v>
      </c>
      <c r="C187" cm="1">
        <f t="array" ref="C187" xml:space="preserve"> ValueAtRiskMC($D$138, A187,$C$140,$C$141,$C$142, $C$143)</f>
        <v>2664683.4135334846</v>
      </c>
      <c r="D187" cm="1">
        <f t="array" ref="D187" xml:space="preserve"> ValueAtRiskMC($E$138,A187,$C$140,$C$141,$C$142, $C$143)</f>
        <v>2761797.2324119513</v>
      </c>
      <c r="E187" cm="1">
        <f t="array" ref="E187" xml:space="preserve"> ValueAtRiskMC($L$138,A187,$L$140,$L$141,$L$142,$L$143)</f>
        <v>2304628.3163559739</v>
      </c>
      <c r="F187" cm="1">
        <f t="array" ref="F187" xml:space="preserve"> ValueAtRiskMC($M$138,A187,$L$140,$L$141,$L$142,$L$143)</f>
        <v>2535935.2290227851</v>
      </c>
      <c r="G187" cm="1">
        <f t="array" ref="G187" xml:space="preserve"> ValueAtRiskMC($N$138,A187,$L$140,$L$141,$L$142,$L$143)</f>
        <v>2641736.8097982374</v>
      </c>
      <c r="H187" s="10" cm="1">
        <f t="array" ref="H187" xml:space="preserve"> ValueAtRiskMC($S$138,A187,$S$140,$S$141,$S$142, $S$143)</f>
        <v>4602538.0011749901</v>
      </c>
      <c r="I187" cm="1">
        <f t="array" ref="I187" xml:space="preserve"> ValueAtRiskMC($T$138,A187,$S$140,$S$141,$S$142, $S$143)</f>
        <v>5278317.3194792336</v>
      </c>
      <c r="J187" cm="1">
        <f t="array" ref="J187" xml:space="preserve"> ValueAtRiskMC($U$138,A187,$S$140,$S$141,$S$142, $S$143)</f>
        <v>5352453.4812618736</v>
      </c>
    </row>
    <row r="188" spans="1:10" x14ac:dyDescent="0.25">
      <c r="A188">
        <v>42</v>
      </c>
      <c r="B188" cm="1">
        <f t="array" ref="B188" xml:space="preserve"> ValueAtRiskMC($C$138,A188,$C$140,$C$141,$C$142, $C$143)</f>
        <v>2429870.0239959061</v>
      </c>
      <c r="C188" cm="1">
        <f t="array" ref="C188" xml:space="preserve"> ValueAtRiskMC($D$138, A188,$C$140,$C$141,$C$142, $C$143)</f>
        <v>2656289.9256136799</v>
      </c>
      <c r="D188" cm="1">
        <f t="array" ref="D188" xml:space="preserve"> ValueAtRiskMC($E$138,A188,$C$140,$C$141,$C$142, $C$143)</f>
        <v>2805967.7968716607</v>
      </c>
      <c r="E188" cm="1">
        <f t="array" ref="E188" xml:space="preserve"> ValueAtRiskMC($L$138,A188,$L$140,$L$141,$L$142,$L$143)</f>
        <v>2353260.974074496</v>
      </c>
      <c r="F188" cm="1">
        <f t="array" ref="F188" xml:space="preserve"> ValueAtRiskMC($M$138,A188,$L$140,$L$141,$L$142,$L$143)</f>
        <v>2578696.9613531725</v>
      </c>
      <c r="G188" cm="1">
        <f t="array" ref="G188" xml:space="preserve"> ValueAtRiskMC($N$138,A188,$L$140,$L$141,$L$142,$L$143)</f>
        <v>2565331.2147157514</v>
      </c>
      <c r="H188" s="10" cm="1">
        <f t="array" ref="H188" xml:space="preserve"> ValueAtRiskMC($S$138,A188,$S$140,$S$141,$S$142, $S$143)</f>
        <v>4772913.6033506356</v>
      </c>
      <c r="I188" cm="1">
        <f t="array" ref="I188" xml:space="preserve"> ValueAtRiskMC($T$138,A188,$S$140,$S$141,$S$142, $S$143)</f>
        <v>5299915.4215068677</v>
      </c>
      <c r="J188" cm="1">
        <f t="array" ref="J188" xml:space="preserve"> ValueAtRiskMC($U$138,A188,$S$140,$S$141,$S$142, $S$143)</f>
        <v>5473452.8499930212</v>
      </c>
    </row>
    <row r="189" spans="1:10" x14ac:dyDescent="0.25">
      <c r="A189">
        <v>43</v>
      </c>
      <c r="B189" cm="1">
        <f t="array" ref="B189" xml:space="preserve"> ValueAtRiskMC($C$138,A189,$C$140,$C$141,$C$142, $C$143)</f>
        <v>2439158.1363366577</v>
      </c>
      <c r="C189" cm="1">
        <f t="array" ref="C189" xml:space="preserve"> ValueAtRiskMC($D$138, A189,$C$140,$C$141,$C$142, $C$143)</f>
        <v>2759422.4549926827</v>
      </c>
      <c r="D189" cm="1">
        <f t="array" ref="D189" xml:space="preserve"> ValueAtRiskMC($E$138,A189,$C$140,$C$141,$C$142, $C$143)</f>
        <v>2936379.6865909374</v>
      </c>
      <c r="E189" cm="1">
        <f t="array" ref="E189" xml:space="preserve"> ValueAtRiskMC($L$138,A189,$L$140,$L$141,$L$142,$L$143)</f>
        <v>2278545.9164065793</v>
      </c>
      <c r="F189" cm="1">
        <f t="array" ref="F189" xml:space="preserve"> ValueAtRiskMC($M$138,A189,$L$140,$L$141,$L$142,$L$143)</f>
        <v>2657266.6355101592</v>
      </c>
      <c r="G189" cm="1">
        <f t="array" ref="G189" xml:space="preserve"> ValueAtRiskMC($N$138,A189,$L$140,$L$141,$L$142,$L$143)</f>
        <v>2659870.0438882867</v>
      </c>
      <c r="H189" s="10" cm="1">
        <f t="array" ref="H189" xml:space="preserve"> ValueAtRiskMC($S$138,A189,$S$140,$S$141,$S$142, $S$143)</f>
        <v>4811464.2811371321</v>
      </c>
      <c r="I189" cm="1">
        <f t="array" ref="I189" xml:space="preserve"> ValueAtRiskMC($T$138,A189,$S$140,$S$141,$S$142, $S$143)</f>
        <v>5493159.6479198784</v>
      </c>
      <c r="J189" cm="1">
        <f t="array" ref="J189" xml:space="preserve"> ValueAtRiskMC($U$138,A189,$S$140,$S$141,$S$142, $S$143)</f>
        <v>5779354.2267022654</v>
      </c>
    </row>
    <row r="190" spans="1:10" x14ac:dyDescent="0.25">
      <c r="A190">
        <v>44</v>
      </c>
      <c r="B190" cm="1">
        <f t="array" ref="B190" xml:space="preserve"> ValueAtRiskMC($C$138,A190,$C$140,$C$141,$C$142, $C$143)</f>
        <v>2496274.2528787316</v>
      </c>
      <c r="C190" cm="1">
        <f t="array" ref="C190" xml:space="preserve"> ValueAtRiskMC($D$138, A190,$C$140,$C$141,$C$142, $C$143)</f>
        <v>2868622.6278413124</v>
      </c>
      <c r="D190" cm="1">
        <f t="array" ref="D190" xml:space="preserve"> ValueAtRiskMC($E$138,A190,$C$140,$C$141,$C$142, $C$143)</f>
        <v>2915695.9176050755</v>
      </c>
      <c r="E190" cm="1">
        <f t="array" ref="E190" xml:space="preserve"> ValueAtRiskMC($L$138,A190,$L$140,$L$141,$L$142,$L$143)</f>
        <v>2386706.0981851849</v>
      </c>
      <c r="F190" cm="1">
        <f t="array" ref="F190" xml:space="preserve"> ValueAtRiskMC($M$138,A190,$L$140,$L$141,$L$142,$L$143)</f>
        <v>2649749.7625204856</v>
      </c>
      <c r="G190" cm="1">
        <f t="array" ref="G190" xml:space="preserve"> ValueAtRiskMC($N$138,A190,$L$140,$L$141,$L$142,$L$143)</f>
        <v>2791692.0023763306</v>
      </c>
      <c r="H190" s="10" cm="1">
        <f t="array" ref="H190" xml:space="preserve"> ValueAtRiskMC($S$138,A190,$S$140,$S$141,$S$142, $S$143)</f>
        <v>4817980.67788909</v>
      </c>
      <c r="I190" cm="1">
        <f t="array" ref="I190" xml:space="preserve"> ValueAtRiskMC($T$138,A190,$S$140,$S$141,$S$142, $S$143)</f>
        <v>5614293.8701040512</v>
      </c>
      <c r="J190" cm="1">
        <f t="array" ref="J190" xml:space="preserve"> ValueAtRiskMC($U$138,A190,$S$140,$S$141,$S$142, $S$143)</f>
        <v>5666686.9399750298</v>
      </c>
    </row>
    <row r="191" spans="1:10" x14ac:dyDescent="0.25">
      <c r="A191">
        <v>45</v>
      </c>
      <c r="B191" cm="1">
        <f t="array" ref="B191" xml:space="preserve"> ValueAtRiskMC($C$138,A191,$C$140,$C$141,$C$142, $C$143)</f>
        <v>2588506.6263636854</v>
      </c>
      <c r="C191" cm="1">
        <f t="array" ref="C191" xml:space="preserve"> ValueAtRiskMC($D$138, A191,$C$140,$C$141,$C$142, $C$143)</f>
        <v>2899719.8175321608</v>
      </c>
      <c r="D191" cm="1">
        <f t="array" ref="D191" xml:space="preserve"> ValueAtRiskMC($E$138,A191,$C$140,$C$141,$C$142, $C$143)</f>
        <v>2913845.0245766575</v>
      </c>
      <c r="E191" cm="1">
        <f t="array" ref="E191" xml:space="preserve"> ValueAtRiskMC($L$138,A191,$L$140,$L$141,$L$142,$L$143)</f>
        <v>2316820.7481912868</v>
      </c>
      <c r="F191" cm="1">
        <f t="array" ref="F191" xml:space="preserve"> ValueAtRiskMC($M$138,A191,$L$140,$L$141,$L$142,$L$143)</f>
        <v>2748409.6785807041</v>
      </c>
      <c r="G191" cm="1">
        <f t="array" ref="G191" xml:space="preserve"> ValueAtRiskMC($N$138,A191,$L$140,$L$141,$L$142,$L$143)</f>
        <v>2740985.156799735</v>
      </c>
      <c r="H191" s="10" cm="1">
        <f t="array" ref="H191" xml:space="preserve"> ValueAtRiskMC($S$138,A191,$S$140,$S$141,$S$142, $S$143)</f>
        <v>4850445.2798202606</v>
      </c>
      <c r="I191" cm="1">
        <f t="array" ref="I191" xml:space="preserve"> ValueAtRiskMC($T$138,A191,$S$140,$S$141,$S$142, $S$143)</f>
        <v>5402770.2536613736</v>
      </c>
      <c r="J191" cm="1">
        <f t="array" ref="J191" xml:space="preserve"> ValueAtRiskMC($U$138,A191,$S$140,$S$141,$S$142, $S$143)</f>
        <v>5636823.5942353131</v>
      </c>
    </row>
    <row r="192" spans="1:10" x14ac:dyDescent="0.25">
      <c r="A192">
        <v>46</v>
      </c>
      <c r="B192" cm="1">
        <f t="array" ref="B192" xml:space="preserve"> ValueAtRiskMC($C$138,A192,$C$140,$C$141,$C$142, $C$143)</f>
        <v>2584331.0843754387</v>
      </c>
      <c r="C192" cm="1">
        <f t="array" ref="C192" xml:space="preserve"> ValueAtRiskMC($D$138, A192,$C$140,$C$141,$C$142, $C$143)</f>
        <v>2940980.7388446224</v>
      </c>
      <c r="D192" cm="1">
        <f t="array" ref="D192" xml:space="preserve"> ValueAtRiskMC($E$138,A192,$C$140,$C$141,$C$142, $C$143)</f>
        <v>2965019.7746715299</v>
      </c>
      <c r="E192" cm="1">
        <f t="array" ref="E192" xml:space="preserve"> ValueAtRiskMC($L$138,A192,$L$140,$L$141,$L$142,$L$143)</f>
        <v>2438405.1340948367</v>
      </c>
      <c r="F192" cm="1">
        <f t="array" ref="F192" xml:space="preserve"> ValueAtRiskMC($M$138,A192,$L$140,$L$141,$L$142,$L$143)</f>
        <v>2849883.1211898797</v>
      </c>
      <c r="G192" cm="1">
        <f t="array" ref="G192" xml:space="preserve"> ValueAtRiskMC($N$138,A192,$L$140,$L$141,$L$142,$L$143)</f>
        <v>2896455.9267725344</v>
      </c>
      <c r="H192" s="10" cm="1">
        <f t="array" ref="H192" xml:space="preserve"> ValueAtRiskMC($S$138,A192,$S$140,$S$141,$S$142, $S$143)</f>
        <v>4867808.6899323286</v>
      </c>
      <c r="I192" cm="1">
        <f t="array" ref="I192" xml:space="preserve"> ValueAtRiskMC($T$138,A192,$S$140,$S$141,$S$142, $S$143)</f>
        <v>5560205.1888818145</v>
      </c>
      <c r="J192" cm="1">
        <f t="array" ref="J192" xml:space="preserve"> ValueAtRiskMC($U$138,A192,$S$140,$S$141,$S$142, $S$143)</f>
        <v>5571516.9500092929</v>
      </c>
    </row>
    <row r="193" spans="1:10" x14ac:dyDescent="0.25">
      <c r="A193">
        <v>47</v>
      </c>
      <c r="B193" cm="1">
        <f t="array" ref="B193" xml:space="preserve"> ValueAtRiskMC($C$138,A193,$C$140,$C$141,$C$142, $C$143)</f>
        <v>2585197.385388067</v>
      </c>
      <c r="C193" cm="1">
        <f t="array" ref="C193" xml:space="preserve"> ValueAtRiskMC($D$138, A193,$C$140,$C$141,$C$142, $C$143)</f>
        <v>2875748.0549218752</v>
      </c>
      <c r="D193" cm="1">
        <f t="array" ref="D193" xml:space="preserve"> ValueAtRiskMC($E$138,A193,$C$140,$C$141,$C$142, $C$143)</f>
        <v>3082253.7766061006</v>
      </c>
      <c r="E193" cm="1">
        <f t="array" ref="E193" xml:space="preserve"> ValueAtRiskMC($L$138,A193,$L$140,$L$141,$L$142,$L$143)</f>
        <v>2428775.3934028805</v>
      </c>
      <c r="F193" cm="1">
        <f t="array" ref="F193" xml:space="preserve"> ValueAtRiskMC($M$138,A193,$L$140,$L$141,$L$142,$L$143)</f>
        <v>2775860.5771620525</v>
      </c>
      <c r="G193" cm="1">
        <f t="array" ref="G193" xml:space="preserve"> ValueAtRiskMC($N$138,A193,$L$140,$L$141,$L$142,$L$143)</f>
        <v>2883248.3063617675</v>
      </c>
      <c r="H193" s="10" cm="1">
        <f t="array" ref="H193" xml:space="preserve"> ValueAtRiskMC($S$138,A193,$S$140,$S$141,$S$142, $S$143)</f>
        <v>4873365.1517256377</v>
      </c>
      <c r="I193" cm="1">
        <f t="array" ref="I193" xml:space="preserve"> ValueAtRiskMC($T$138,A193,$S$140,$S$141,$S$142, $S$143)</f>
        <v>5617687.8250626139</v>
      </c>
      <c r="J193" cm="1">
        <f t="array" ref="J193" xml:space="preserve"> ValueAtRiskMC($U$138,A193,$S$140,$S$141,$S$142, $S$143)</f>
        <v>5763911.1832344849</v>
      </c>
    </row>
    <row r="194" spans="1:10" x14ac:dyDescent="0.25">
      <c r="A194">
        <v>48</v>
      </c>
      <c r="B194" cm="1">
        <f t="array" ref="B194" xml:space="preserve"> ValueAtRiskMC($C$138,A194,$C$140,$C$141,$C$142, $C$143)</f>
        <v>2650508.7254139637</v>
      </c>
      <c r="C194" cm="1">
        <f t="array" ref="C194" xml:space="preserve"> ValueAtRiskMC($D$138, A194,$C$140,$C$141,$C$142, $C$143)</f>
        <v>2893267.9164362452</v>
      </c>
      <c r="D194" cm="1">
        <f t="array" ref="D194" xml:space="preserve"> ValueAtRiskMC($E$138,A194,$C$140,$C$141,$C$142, $C$143)</f>
        <v>3036387.2596493056</v>
      </c>
      <c r="E194" cm="1">
        <f t="array" ref="E194" xml:space="preserve"> ValueAtRiskMC($L$138,A194,$L$140,$L$141,$L$142,$L$143)</f>
        <v>2404112.6062750882</v>
      </c>
      <c r="F194" cm="1">
        <f t="array" ref="F194" xml:space="preserve"> ValueAtRiskMC($M$138,A194,$L$140,$L$141,$L$142,$L$143)</f>
        <v>2804748.6426294376</v>
      </c>
      <c r="G194" cm="1">
        <f t="array" ref="G194" xml:space="preserve"> ValueAtRiskMC($N$138,A194,$L$140,$L$141,$L$142,$L$143)</f>
        <v>2980272.8846571576</v>
      </c>
      <c r="H194" s="10" cm="1">
        <f t="array" ref="H194" xml:space="preserve"> ValueAtRiskMC($S$138,A194,$S$140,$S$141,$S$142, $S$143)</f>
        <v>4969640.5688683111</v>
      </c>
      <c r="I194" cm="1">
        <f t="array" ref="I194" xml:space="preserve"> ValueAtRiskMC($T$138,A194,$S$140,$S$141,$S$142, $S$143)</f>
        <v>5610455.9954858217</v>
      </c>
      <c r="J194" cm="1">
        <f t="array" ref="J194" xml:space="preserve"> ValueAtRiskMC($U$138,A194,$S$140,$S$141,$S$142, $S$143)</f>
        <v>5767731.6927774707</v>
      </c>
    </row>
    <row r="195" spans="1:10" x14ac:dyDescent="0.25">
      <c r="A195">
        <v>49</v>
      </c>
      <c r="B195" cm="1">
        <f t="array" ref="B195" xml:space="preserve"> ValueAtRiskMC($C$138,A195,$C$140,$C$141,$C$142, $C$143)</f>
        <v>2679513.7360518421</v>
      </c>
      <c r="C195" cm="1">
        <f t="array" ref="C195" xml:space="preserve"> ValueAtRiskMC($D$138, A195,$C$140,$C$141,$C$142, $C$143)</f>
        <v>2968065.9334742529</v>
      </c>
      <c r="D195" cm="1">
        <f t="array" ref="D195" xml:space="preserve"> ValueAtRiskMC($E$138,A195,$C$140,$C$141,$C$142, $C$143)</f>
        <v>3041555.0421040528</v>
      </c>
      <c r="E195" cm="1">
        <f t="array" ref="E195" xml:space="preserve"> ValueAtRiskMC($L$138,A195,$L$140,$L$141,$L$142,$L$143)</f>
        <v>2497281.8995241569</v>
      </c>
      <c r="F195" cm="1">
        <f t="array" ref="F195" xml:space="preserve"> ValueAtRiskMC($M$138,A195,$L$140,$L$141,$L$142,$L$143)</f>
        <v>2787309.4157802914</v>
      </c>
      <c r="G195" cm="1">
        <f t="array" ref="G195" xml:space="preserve"> ValueAtRiskMC($N$138,A195,$L$140,$L$141,$L$142,$L$143)</f>
        <v>2889036.4472881798</v>
      </c>
      <c r="H195" s="10" cm="1">
        <f t="array" ref="H195" xml:space="preserve"> ValueAtRiskMC($S$138,A195,$S$140,$S$141,$S$142, $S$143)</f>
        <v>5063590.7330459403</v>
      </c>
      <c r="I195" cm="1">
        <f t="array" ref="I195" xml:space="preserve"> ValueAtRiskMC($T$138,A195,$S$140,$S$141,$S$142, $S$143)</f>
        <v>5754905.9648082182</v>
      </c>
      <c r="J195" cm="1">
        <f t="array" ref="J195" xml:space="preserve"> ValueAtRiskMC($U$138,A195,$S$140,$S$141,$S$142, $S$143)</f>
        <v>5914133.1323900484</v>
      </c>
    </row>
    <row r="196" spans="1:10" x14ac:dyDescent="0.25">
      <c r="A196">
        <v>50</v>
      </c>
      <c r="B196" cm="1">
        <f t="array" ref="B196" xml:space="preserve"> ValueAtRiskMC($C$138,A196,$C$140,$C$141,$C$142, $C$143)</f>
        <v>2647115.6567503149</v>
      </c>
      <c r="C196" cm="1">
        <f t="array" ref="C196" xml:space="preserve"> ValueAtRiskMC($D$138, A196,$C$140,$C$141,$C$142, $C$143)</f>
        <v>2978914.5178464702</v>
      </c>
      <c r="D196" cm="1">
        <f t="array" ref="D196" xml:space="preserve"> ValueAtRiskMC($E$138,A196,$C$140,$C$141,$C$142, $C$143)</f>
        <v>3080859.9036943438</v>
      </c>
      <c r="E196" cm="1">
        <f t="array" ref="E196" xml:space="preserve"> ValueAtRiskMC($L$138,A196,$L$140,$L$141,$L$142,$L$143)</f>
        <v>2463116.6524365256</v>
      </c>
      <c r="F196" cm="1">
        <f t="array" ref="F196" xml:space="preserve"> ValueAtRiskMC($M$138,A196,$L$140,$L$141,$L$142,$L$143)</f>
        <v>2803586.8167658211</v>
      </c>
      <c r="G196" cm="1">
        <f t="array" ref="G196" xml:space="preserve"> ValueAtRiskMC($N$138,A196,$L$140,$L$141,$L$142,$L$143)</f>
        <v>2935476.2601875486</v>
      </c>
      <c r="H196" s="10" cm="1">
        <f t="array" ref="H196" xml:space="preserve"> ValueAtRiskMC($S$138,A196,$S$140,$S$141,$S$142, $S$143)</f>
        <v>4917680.3060202338</v>
      </c>
      <c r="I196" cm="1">
        <f t="array" ref="I196" xml:space="preserve"> ValueAtRiskMC($T$138,A196,$S$140,$S$141,$S$142, $S$143)</f>
        <v>5517480.8030523155</v>
      </c>
      <c r="J196" cm="1">
        <f t="array" ref="J196" xml:space="preserve"> ValueAtRiskMC($U$138,A196,$S$140,$S$141,$S$142, $S$143)</f>
        <v>5889976.5944691859</v>
      </c>
    </row>
    <row r="197" spans="1:10" x14ac:dyDescent="0.25">
      <c r="A197">
        <v>51</v>
      </c>
      <c r="B197" cm="1">
        <f t="array" ref="B197" xml:space="preserve"> ValueAtRiskMC($C$138,A197,$C$140,$C$141,$C$142, $C$143)</f>
        <v>2719957.2570076529</v>
      </c>
      <c r="C197" cm="1">
        <f t="array" ref="C197" xml:space="preserve"> ValueAtRiskMC($D$138, A197,$C$140,$C$141,$C$142, $C$143)</f>
        <v>2990972.3299372778</v>
      </c>
      <c r="D197" cm="1">
        <f t="array" ref="D197" xml:space="preserve"> ValueAtRiskMC($E$138,A197,$C$140,$C$141,$C$142, $C$143)</f>
        <v>3112669.2197842016</v>
      </c>
      <c r="E197" cm="1">
        <f t="array" ref="E197" xml:space="preserve"> ValueAtRiskMC($L$138,A197,$L$140,$L$141,$L$142,$L$143)</f>
        <v>2509175.5315942708</v>
      </c>
      <c r="F197" cm="1">
        <f t="array" ref="F197" xml:space="preserve"> ValueAtRiskMC($M$138,A197,$L$140,$L$141,$L$142,$L$143)</f>
        <v>2891287.3172498699</v>
      </c>
      <c r="G197" cm="1">
        <f t="array" ref="G197" xml:space="preserve"> ValueAtRiskMC($N$138,A197,$L$140,$L$141,$L$142,$L$143)</f>
        <v>2997387.5695866481</v>
      </c>
      <c r="H197" s="10" cm="1">
        <f t="array" ref="H197" xml:space="preserve"> ValueAtRiskMC($S$138,A197,$S$140,$S$141,$S$142, $S$143)</f>
        <v>5204242.2479546256</v>
      </c>
      <c r="I197" cm="1">
        <f t="array" ref="I197" xml:space="preserve"> ValueAtRiskMC($T$138,A197,$S$140,$S$141,$S$142, $S$143)</f>
        <v>5821311.2768651852</v>
      </c>
      <c r="J197" cm="1">
        <f t="array" ref="J197" xml:space="preserve"> ValueAtRiskMC($U$138,A197,$S$140,$S$141,$S$142, $S$143)</f>
        <v>6132030.8547880091</v>
      </c>
    </row>
    <row r="198" spans="1:10" x14ac:dyDescent="0.25">
      <c r="A198">
        <v>52</v>
      </c>
      <c r="B198" cm="1">
        <f t="array" ref="B198" xml:space="preserve"> ValueAtRiskMC($C$138,A198,$C$140,$C$141,$C$142, $C$143)</f>
        <v>2742827.3871832313</v>
      </c>
      <c r="C198" cm="1">
        <f t="array" ref="C198" xml:space="preserve"> ValueAtRiskMC($D$138, A198,$C$140,$C$141,$C$142, $C$143)</f>
        <v>3103137.1389572658</v>
      </c>
      <c r="D198" cm="1">
        <f t="array" ref="D198" xml:space="preserve"> ValueAtRiskMC($E$138,A198,$C$140,$C$141,$C$142, $C$143)</f>
        <v>3198883.1326326099</v>
      </c>
      <c r="E198" cm="1">
        <f t="array" ref="E198" xml:space="preserve"> ValueAtRiskMC($L$138,A198,$L$140,$L$141,$L$142,$L$143)</f>
        <v>2570436.6920685931</v>
      </c>
      <c r="F198" cm="1">
        <f t="array" ref="F198" xml:space="preserve"> ValueAtRiskMC($M$138,A198,$L$140,$L$141,$L$142,$L$143)</f>
        <v>2903695.0909509528</v>
      </c>
      <c r="G198" cm="1">
        <f t="array" ref="G198" xml:space="preserve"> ValueAtRiskMC($N$138,A198,$L$140,$L$141,$L$142,$L$143)</f>
        <v>2971338.617951626</v>
      </c>
      <c r="H198" s="10" cm="1">
        <f t="array" ref="H198" xml:space="preserve"> ValueAtRiskMC($S$138,A198,$S$140,$S$141,$S$142, $S$143)</f>
        <v>5241067.6787011921</v>
      </c>
      <c r="I198" cm="1">
        <f t="array" ref="I198" xml:space="preserve"> ValueAtRiskMC($T$138,A198,$S$140,$S$141,$S$142, $S$143)</f>
        <v>5793543.9039629819</v>
      </c>
      <c r="J198" cm="1">
        <f t="array" ref="J198" xml:space="preserve"> ValueAtRiskMC($U$138,A198,$S$140,$S$141,$S$142, $S$143)</f>
        <v>5863034.2889911449</v>
      </c>
    </row>
    <row r="199" spans="1:10" x14ac:dyDescent="0.25">
      <c r="A199">
        <v>53</v>
      </c>
      <c r="B199" cm="1">
        <f t="array" ref="B199" xml:space="preserve"> ValueAtRiskMC($C$138,A199,$C$140,$C$141,$C$142, $C$143)</f>
        <v>2735919.1960392771</v>
      </c>
      <c r="C199" cm="1">
        <f t="array" ref="C199" xml:space="preserve"> ValueAtRiskMC($D$138, A199,$C$140,$C$141,$C$142, $C$143)</f>
        <v>3073966.6666983729</v>
      </c>
      <c r="D199" cm="1">
        <f t="array" ref="D199" xml:space="preserve"> ValueAtRiskMC($E$138,A199,$C$140,$C$141,$C$142, $C$143)</f>
        <v>3112668.2965563941</v>
      </c>
      <c r="E199" cm="1">
        <f t="array" ref="E199" xml:space="preserve"> ValueAtRiskMC($L$138,A199,$L$140,$L$141,$L$142,$L$143)</f>
        <v>2632588.7443112223</v>
      </c>
      <c r="F199" cm="1">
        <f t="array" ref="F199" xml:space="preserve"> ValueAtRiskMC($M$138,A199,$L$140,$L$141,$L$142,$L$143)</f>
        <v>2965320.1368575017</v>
      </c>
      <c r="G199" cm="1">
        <f t="array" ref="G199" xml:space="preserve"> ValueAtRiskMC($N$138,A199,$L$140,$L$141,$L$142,$L$143)</f>
        <v>3031769.897200759</v>
      </c>
      <c r="H199" s="10" cm="1">
        <f t="array" ref="H199" xml:space="preserve"> ValueAtRiskMC($S$138,A199,$S$140,$S$141,$S$142, $S$143)</f>
        <v>5353159.4267753409</v>
      </c>
      <c r="I199" cm="1">
        <f t="array" ref="I199" xml:space="preserve"> ValueAtRiskMC($T$138,A199,$S$140,$S$141,$S$142, $S$143)</f>
        <v>5969701.2334119165</v>
      </c>
      <c r="J199" cm="1">
        <f t="array" ref="J199" xml:space="preserve"> ValueAtRiskMC($U$138,A199,$S$140,$S$141,$S$142, $S$143)</f>
        <v>6225833.4869359592</v>
      </c>
    </row>
    <row r="200" spans="1:10" x14ac:dyDescent="0.25">
      <c r="A200">
        <v>54</v>
      </c>
      <c r="B200" cm="1">
        <f t="array" ref="B200" xml:space="preserve"> ValueAtRiskMC($C$138,A200,$C$140,$C$141,$C$142, $C$143)</f>
        <v>2750391.4445096282</v>
      </c>
      <c r="C200" cm="1">
        <f t="array" ref="C200" xml:space="preserve"> ValueAtRiskMC($D$138, A200,$C$140,$C$141,$C$142, $C$143)</f>
        <v>3119871.1048531155</v>
      </c>
      <c r="D200" cm="1">
        <f t="array" ref="D200" xml:space="preserve"> ValueAtRiskMC($E$138,A200,$C$140,$C$141,$C$142, $C$143)</f>
        <v>3238278.9989487068</v>
      </c>
      <c r="E200" cm="1">
        <f t="array" ref="E200" xml:space="preserve"> ValueAtRiskMC($L$138,A200,$L$140,$L$141,$L$142,$L$143)</f>
        <v>2582963.7163063139</v>
      </c>
      <c r="F200" cm="1">
        <f t="array" ref="F200" xml:space="preserve"> ValueAtRiskMC($M$138,A200,$L$140,$L$141,$L$142,$L$143)</f>
        <v>3038996.0069934106</v>
      </c>
      <c r="G200" cm="1">
        <f t="array" ref="G200" xml:space="preserve"> ValueAtRiskMC($N$138,A200,$L$140,$L$141,$L$142,$L$143)</f>
        <v>3017510.8444408108</v>
      </c>
      <c r="H200" s="10" cm="1">
        <f t="array" ref="H200" xml:space="preserve"> ValueAtRiskMC($S$138,A200,$S$140,$S$141,$S$142, $S$143)</f>
        <v>5230978.2323413286</v>
      </c>
      <c r="I200" cm="1">
        <f t="array" ref="I200" xml:space="preserve"> ValueAtRiskMC($T$138,A200,$S$140,$S$141,$S$142, $S$143)</f>
        <v>6024378.41351071</v>
      </c>
      <c r="J200" cm="1">
        <f t="array" ref="J200" xml:space="preserve"> ValueAtRiskMC($U$138,A200,$S$140,$S$141,$S$142, $S$143)</f>
        <v>6245630.6427225126</v>
      </c>
    </row>
    <row r="201" spans="1:10" x14ac:dyDescent="0.25">
      <c r="A201">
        <v>55</v>
      </c>
      <c r="B201" cm="1">
        <f t="array" ref="B201" xml:space="preserve"> ValueAtRiskMC($C$138,A201,$C$140,$C$141,$C$142, $C$143)</f>
        <v>2782655.5848200452</v>
      </c>
      <c r="C201" cm="1">
        <f t="array" ref="C201" xml:space="preserve"> ValueAtRiskMC($D$138, A201,$C$140,$C$141,$C$142, $C$143)</f>
        <v>3224975.701549748</v>
      </c>
      <c r="D201" cm="1">
        <f t="array" ref="D201" xml:space="preserve"> ValueAtRiskMC($E$138,A201,$C$140,$C$141,$C$142, $C$143)</f>
        <v>3259899.8380539701</v>
      </c>
      <c r="E201" cm="1">
        <f t="array" ref="E201" xml:space="preserve"> ValueAtRiskMC($L$138,A201,$L$140,$L$141,$L$142,$L$143)</f>
        <v>2653990.1910836091</v>
      </c>
      <c r="F201" cm="1">
        <f t="array" ref="F201" xml:space="preserve"> ValueAtRiskMC($M$138,A201,$L$140,$L$141,$L$142,$L$143)</f>
        <v>3000940.4893794502</v>
      </c>
      <c r="G201" cm="1">
        <f t="array" ref="G201" xml:space="preserve"> ValueAtRiskMC($N$138,A201,$L$140,$L$141,$L$142,$L$143)</f>
        <v>3256303.1269755736</v>
      </c>
      <c r="H201" s="10" cm="1">
        <f t="array" ref="H201" xml:space="preserve"> ValueAtRiskMC($S$138,A201,$S$140,$S$141,$S$142, $S$143)</f>
        <v>5277537.1741447644</v>
      </c>
      <c r="I201" cm="1">
        <f t="array" ref="I201" xml:space="preserve"> ValueAtRiskMC($T$138,A201,$S$140,$S$141,$S$142, $S$143)</f>
        <v>6064593.9634996559</v>
      </c>
      <c r="J201" cm="1">
        <f t="array" ref="J201" xml:space="preserve"> ValueAtRiskMC($U$138,A201,$S$140,$S$141,$S$142, $S$143)</f>
        <v>6336941.7747573406</v>
      </c>
    </row>
    <row r="202" spans="1:10" x14ac:dyDescent="0.25">
      <c r="A202">
        <v>56</v>
      </c>
      <c r="B202" cm="1">
        <f t="array" ref="B202" xml:space="preserve"> ValueAtRiskMC($C$138,A202,$C$140,$C$141,$C$142, $C$143)</f>
        <v>2885173.400235421</v>
      </c>
      <c r="C202" cm="1">
        <f t="array" ref="C202" xml:space="preserve"> ValueAtRiskMC($D$138, A202,$C$140,$C$141,$C$142, $C$143)</f>
        <v>3246103.8082454139</v>
      </c>
      <c r="D202" cm="1">
        <f t="array" ref="D202" xml:space="preserve"> ValueAtRiskMC($E$138,A202,$C$140,$C$141,$C$142, $C$143)</f>
        <v>3224599.3147822376</v>
      </c>
      <c r="E202" cm="1">
        <f t="array" ref="E202" xml:space="preserve"> ValueAtRiskMC($L$138,A202,$L$140,$L$141,$L$142,$L$143)</f>
        <v>2660778.5337307411</v>
      </c>
      <c r="F202" cm="1">
        <f t="array" ref="F202" xml:space="preserve"> ValueAtRiskMC($M$138,A202,$L$140,$L$141,$L$142,$L$143)</f>
        <v>3062145.402043636</v>
      </c>
      <c r="G202" cm="1">
        <f t="array" ref="G202" xml:space="preserve"> ValueAtRiskMC($N$138,A202,$L$140,$L$141,$L$142,$L$143)</f>
        <v>3198229.3563827621</v>
      </c>
      <c r="H202" s="10" cm="1">
        <f t="array" ref="H202" xml:space="preserve"> ValueAtRiskMC($S$138,A202,$S$140,$S$141,$S$142, $S$143)</f>
        <v>5383095.9548426708</v>
      </c>
      <c r="I202" cm="1">
        <f t="array" ref="I202" xml:space="preserve"> ValueAtRiskMC($T$138,A202,$S$140,$S$141,$S$142, $S$143)</f>
        <v>6110939.2272322206</v>
      </c>
      <c r="J202" cm="1">
        <f t="array" ref="J202" xml:space="preserve"> ValueAtRiskMC($U$138,A202,$S$140,$S$141,$S$142, $S$143)</f>
        <v>6282714.5692831343</v>
      </c>
    </row>
    <row r="203" spans="1:10" x14ac:dyDescent="0.25">
      <c r="A203">
        <v>57</v>
      </c>
      <c r="B203" cm="1">
        <f t="array" ref="B203" xml:space="preserve"> ValueAtRiskMC($C$138,A203,$C$140,$C$141,$C$142, $C$143)</f>
        <v>2847439.7779582455</v>
      </c>
      <c r="C203" cm="1">
        <f t="array" ref="C203" xml:space="preserve"> ValueAtRiskMC($D$138, A203,$C$140,$C$141,$C$142, $C$143)</f>
        <v>3220045.0364887533</v>
      </c>
      <c r="D203" cm="1">
        <f t="array" ref="D203" xml:space="preserve"> ValueAtRiskMC($E$138,A203,$C$140,$C$141,$C$142, $C$143)</f>
        <v>3304544.1781228511</v>
      </c>
      <c r="E203" cm="1">
        <f t="array" ref="E203" xml:space="preserve"> ValueAtRiskMC($L$138,A203,$L$140,$L$141,$L$142,$L$143)</f>
        <v>2631354.822089259</v>
      </c>
      <c r="F203" cm="1">
        <f t="array" ref="F203" xml:space="preserve"> ValueAtRiskMC($M$138,A203,$L$140,$L$141,$L$142,$L$143)</f>
        <v>3116348.0940037137</v>
      </c>
      <c r="G203" cm="1">
        <f t="array" ref="G203" xml:space="preserve"> ValueAtRiskMC($N$138,A203,$L$140,$L$141,$L$142,$L$143)</f>
        <v>3173763.3853189116</v>
      </c>
      <c r="H203" s="10" cm="1">
        <f t="array" ref="H203" xml:space="preserve"> ValueAtRiskMC($S$138,A203,$S$140,$S$141,$S$142, $S$143)</f>
        <v>5492400.9543776941</v>
      </c>
      <c r="I203" cm="1">
        <f t="array" ref="I203" xml:space="preserve"> ValueAtRiskMC($T$138,A203,$S$140,$S$141,$S$142, $S$143)</f>
        <v>6029917.7903383225</v>
      </c>
      <c r="J203" cm="1">
        <f t="array" ref="J203" xml:space="preserve"> ValueAtRiskMC($U$138,A203,$S$140,$S$141,$S$142, $S$143)</f>
        <v>6494216.114922286</v>
      </c>
    </row>
    <row r="204" spans="1:10" x14ac:dyDescent="0.25">
      <c r="A204">
        <v>58</v>
      </c>
      <c r="B204" cm="1">
        <f t="array" ref="B204" xml:space="preserve"> ValueAtRiskMC($C$138,A204,$C$140,$C$141,$C$142, $C$143)</f>
        <v>2871865.9591156831</v>
      </c>
      <c r="C204" cm="1">
        <f t="array" ref="C204" xml:space="preserve"> ValueAtRiskMC($D$138, A204,$C$140,$C$141,$C$142, $C$143)</f>
        <v>3230062.8444863143</v>
      </c>
      <c r="D204" cm="1">
        <f t="array" ref="D204" xml:space="preserve"> ValueAtRiskMC($E$138,A204,$C$140,$C$141,$C$142, $C$143)</f>
        <v>3315219.0721629965</v>
      </c>
      <c r="E204" cm="1">
        <f t="array" ref="E204" xml:space="preserve"> ValueAtRiskMC($L$138,A204,$L$140,$L$141,$L$142,$L$143)</f>
        <v>2697378.3090672945</v>
      </c>
      <c r="F204" cm="1">
        <f t="array" ref="F204" xml:space="preserve"> ValueAtRiskMC($M$138,A204,$L$140,$L$141,$L$142,$L$143)</f>
        <v>3106159.8447533366</v>
      </c>
      <c r="G204" cm="1">
        <f t="array" ref="G204" xml:space="preserve"> ValueAtRiskMC($N$138,A204,$L$140,$L$141,$L$142,$L$143)</f>
        <v>3106711.0192030943</v>
      </c>
      <c r="H204" s="10" cm="1">
        <f t="array" ref="H204" xml:space="preserve"> ValueAtRiskMC($S$138,A204,$S$140,$S$141,$S$142, $S$143)</f>
        <v>5571181.5916408598</v>
      </c>
      <c r="I204" cm="1">
        <f t="array" ref="I204" xml:space="preserve"> ValueAtRiskMC($T$138,A204,$S$140,$S$141,$S$142, $S$143)</f>
        <v>6207888.6763339536</v>
      </c>
      <c r="J204" cm="1">
        <f t="array" ref="J204" xml:space="preserve"> ValueAtRiskMC($U$138,A204,$S$140,$S$141,$S$142, $S$143)</f>
        <v>6334718.9342279313</v>
      </c>
    </row>
    <row r="205" spans="1:10" x14ac:dyDescent="0.25">
      <c r="A205">
        <v>59</v>
      </c>
      <c r="B205" cm="1">
        <f t="array" ref="B205" xml:space="preserve"> ValueAtRiskMC($C$138,A205,$C$140,$C$141,$C$142, $C$143)</f>
        <v>2889771.9402095005</v>
      </c>
      <c r="C205" cm="1">
        <f t="array" ref="C205" xml:space="preserve"> ValueAtRiskMC($D$138, A205,$C$140,$C$141,$C$142, $C$143)</f>
        <v>3234304.3055412495</v>
      </c>
      <c r="D205" cm="1">
        <f t="array" ref="D205" xml:space="preserve"> ValueAtRiskMC($E$138,A205,$C$140,$C$141,$C$142, $C$143)</f>
        <v>3356697.2769516008</v>
      </c>
      <c r="E205" cm="1">
        <f t="array" ref="E205" xml:space="preserve"> ValueAtRiskMC($L$138,A205,$L$140,$L$141,$L$142,$L$143)</f>
        <v>2771203.831134628</v>
      </c>
      <c r="F205" cm="1">
        <f t="array" ref="F205" xml:space="preserve"> ValueAtRiskMC($M$138,A205,$L$140,$L$141,$L$142,$L$143)</f>
        <v>3027516.369706267</v>
      </c>
      <c r="G205" cm="1">
        <f t="array" ref="G205" xml:space="preserve"> ValueAtRiskMC($N$138,A205,$L$140,$L$141,$L$142,$L$143)</f>
        <v>3163867.5563096548</v>
      </c>
      <c r="H205" s="10" cm="1">
        <f t="array" ref="H205" xml:space="preserve"> ValueAtRiskMC($S$138,A205,$S$140,$S$141,$S$142, $S$143)</f>
        <v>5498330.6409023693</v>
      </c>
      <c r="I205" cm="1">
        <f t="array" ref="I205" xml:space="preserve"> ValueAtRiskMC($T$138,A205,$S$140,$S$141,$S$142, $S$143)</f>
        <v>6441933.2664247071</v>
      </c>
      <c r="J205" cm="1">
        <f t="array" ref="J205" xml:space="preserve"> ValueAtRiskMC($U$138,A205,$S$140,$S$141,$S$142, $S$143)</f>
        <v>6441300.1071005352</v>
      </c>
    </row>
    <row r="206" spans="1:10" x14ac:dyDescent="0.25">
      <c r="A206">
        <v>60</v>
      </c>
      <c r="B206" cm="1">
        <f t="array" ref="B206" xml:space="preserve"> ValueAtRiskMC($C$138,A206,$C$140,$C$141,$C$142, $C$143)</f>
        <v>2923982.66218975</v>
      </c>
      <c r="C206" cm="1">
        <f t="array" ref="C206" xml:space="preserve"> ValueAtRiskMC($D$138, A206,$C$140,$C$141,$C$142, $C$143)</f>
        <v>3329492.3298164895</v>
      </c>
      <c r="D206" cm="1">
        <f t="array" ref="D206" xml:space="preserve"> ValueAtRiskMC($E$138,A206,$C$140,$C$141,$C$142, $C$143)</f>
        <v>3327110.2813467043</v>
      </c>
      <c r="E206" cm="1">
        <f t="array" ref="E206" xml:space="preserve"> ValueAtRiskMC($L$138,A206,$L$140,$L$141,$L$142,$L$143)</f>
        <v>2814494.408996535</v>
      </c>
      <c r="F206" cm="1">
        <f t="array" ref="F206" xml:space="preserve"> ValueAtRiskMC($M$138,A206,$L$140,$L$141,$L$142,$L$143)</f>
        <v>3092664.5480280477</v>
      </c>
      <c r="G206" cm="1">
        <f t="array" ref="G206" xml:space="preserve"> ValueAtRiskMC($N$138,A206,$L$140,$L$141,$L$142,$L$143)</f>
        <v>3317374.4216719172</v>
      </c>
      <c r="H206" s="10" cm="1">
        <f t="array" ref="H206" xml:space="preserve"> ValueAtRiskMC($S$138,A206,$S$140,$S$141,$S$142, $S$143)</f>
        <v>5649753.7472492103</v>
      </c>
      <c r="I206" cm="1">
        <f t="array" ref="I206" xml:space="preserve"> ValueAtRiskMC($T$138,A206,$S$140,$S$141,$S$142, $S$143)</f>
        <v>6304339.3332635192</v>
      </c>
      <c r="J206" cm="1">
        <f t="array" ref="J206" xml:space="preserve"> ValueAtRiskMC($U$138,A206,$S$140,$S$141,$S$142, $S$143)</f>
        <v>6319510.2732004402</v>
      </c>
    </row>
    <row r="207" spans="1:10" x14ac:dyDescent="0.25">
      <c r="A207">
        <v>61</v>
      </c>
      <c r="B207" cm="1">
        <f t="array" ref="B207" xml:space="preserve"> ValueAtRiskMC($C$138,A207,$C$140,$C$141,$C$142, $C$143)</f>
        <v>2971814.6248871447</v>
      </c>
      <c r="C207" cm="1">
        <f t="array" ref="C207" xml:space="preserve"> ValueAtRiskMC($D$138, A207,$C$140,$C$141,$C$142, $C$143)</f>
        <v>3358360.4321102402</v>
      </c>
      <c r="D207" cm="1">
        <f t="array" ref="D207" xml:space="preserve"> ValueAtRiskMC($E$138,A207,$C$140,$C$141,$C$142, $C$143)</f>
        <v>3332879.9202836119</v>
      </c>
      <c r="E207" cm="1">
        <f t="array" ref="E207" xml:space="preserve"> ValueAtRiskMC($L$138,A207,$L$140,$L$141,$L$142,$L$143)</f>
        <v>2806431.8719814601</v>
      </c>
      <c r="F207" cm="1">
        <f t="array" ref="F207" xml:space="preserve"> ValueAtRiskMC($M$138,A207,$L$140,$L$141,$L$142,$L$143)</f>
        <v>3146768.7090567555</v>
      </c>
      <c r="G207" cm="1">
        <f t="array" ref="G207" xml:space="preserve"> ValueAtRiskMC($N$138,A207,$L$140,$L$141,$L$142,$L$143)</f>
        <v>3262184.4741956</v>
      </c>
      <c r="H207" s="10" cm="1">
        <f t="array" ref="H207" xml:space="preserve"> ValueAtRiskMC($S$138,A207,$S$140,$S$141,$S$142, $S$143)</f>
        <v>5463613.3830459323</v>
      </c>
      <c r="I207" cm="1">
        <f t="array" ref="I207" xml:space="preserve"> ValueAtRiskMC($T$138,A207,$S$140,$S$141,$S$142, $S$143)</f>
        <v>6410446.6691989778</v>
      </c>
      <c r="J207" cm="1">
        <f t="array" ref="J207" xml:space="preserve"> ValueAtRiskMC($U$138,A207,$S$140,$S$141,$S$142, $S$143)</f>
        <v>6739952.6312792944</v>
      </c>
    </row>
    <row r="208" spans="1:10" x14ac:dyDescent="0.25">
      <c r="A208">
        <v>62</v>
      </c>
      <c r="B208" cm="1">
        <f t="array" ref="B208" xml:space="preserve"> ValueAtRiskMC($C$138,A208,$C$140,$C$141,$C$142, $C$143)</f>
        <v>2913785.8916471661</v>
      </c>
      <c r="C208" cm="1">
        <f t="array" ref="C208" xml:space="preserve"> ValueAtRiskMC($D$138, A208,$C$140,$C$141,$C$142, $C$143)</f>
        <v>3388064.2157739359</v>
      </c>
      <c r="D208" cm="1">
        <f t="array" ref="D208" xml:space="preserve"> ValueAtRiskMC($E$138,A208,$C$140,$C$141,$C$142, $C$143)</f>
        <v>3420948.3989013769</v>
      </c>
      <c r="E208" cm="1">
        <f t="array" ref="E208" xml:space="preserve"> ValueAtRiskMC($L$138,A208,$L$140,$L$141,$L$142,$L$143)</f>
        <v>2748106.2938645524</v>
      </c>
      <c r="F208" cm="1">
        <f t="array" ref="F208" xml:space="preserve"> ValueAtRiskMC($M$138,A208,$L$140,$L$141,$L$142,$L$143)</f>
        <v>3209668.1510336786</v>
      </c>
      <c r="G208" cm="1">
        <f t="array" ref="G208" xml:space="preserve"> ValueAtRiskMC($N$138,A208,$L$140,$L$141,$L$142,$L$143)</f>
        <v>3256438.7271419009</v>
      </c>
      <c r="H208" s="10" cm="1">
        <f t="array" ref="H208" xml:space="preserve"> ValueAtRiskMC($S$138,A208,$S$140,$S$141,$S$142, $S$143)</f>
        <v>5665509.9410673203</v>
      </c>
      <c r="I208" cm="1">
        <f t="array" ref="I208" xml:space="preserve"> ValueAtRiskMC($T$138,A208,$S$140,$S$141,$S$142, $S$143)</f>
        <v>6311769.7620776566</v>
      </c>
      <c r="J208" cm="1">
        <f t="array" ref="J208" xml:space="preserve"> ValueAtRiskMC($U$138,A208,$S$140,$S$141,$S$142, $S$143)</f>
        <v>6629647.3774417043</v>
      </c>
    </row>
    <row r="209" spans="1:10" x14ac:dyDescent="0.25">
      <c r="A209">
        <v>63</v>
      </c>
      <c r="B209" cm="1">
        <f t="array" ref="B209" xml:space="preserve"> ValueAtRiskMC($C$138,A209,$C$140,$C$141,$C$142, $C$143)</f>
        <v>2901639.8487941418</v>
      </c>
      <c r="C209" cm="1">
        <f t="array" ref="C209" xml:space="preserve"> ValueAtRiskMC($D$138, A209,$C$140,$C$141,$C$142, $C$143)</f>
        <v>3401985.8243966168</v>
      </c>
      <c r="D209" cm="1">
        <f t="array" ref="D209" xml:space="preserve"> ValueAtRiskMC($E$138,A209,$C$140,$C$141,$C$142, $C$143)</f>
        <v>3434277.5149461511</v>
      </c>
      <c r="E209" cm="1">
        <f t="array" ref="E209" xml:space="preserve"> ValueAtRiskMC($L$138,A209,$L$140,$L$141,$L$142,$L$143)</f>
        <v>2820228.5085012331</v>
      </c>
      <c r="F209" cm="1">
        <f t="array" ref="F209" xml:space="preserve"> ValueAtRiskMC($M$138,A209,$L$140,$L$141,$L$142,$L$143)</f>
        <v>3221542.1101593971</v>
      </c>
      <c r="G209" cm="1">
        <f t="array" ref="G209" xml:space="preserve"> ValueAtRiskMC($N$138,A209,$L$140,$L$141,$L$142,$L$143)</f>
        <v>3341841.0976986922</v>
      </c>
      <c r="H209" s="10" cm="1">
        <f t="array" ref="H209" xml:space="preserve"> ValueAtRiskMC($S$138,A209,$S$140,$S$141,$S$142, $S$143)</f>
        <v>5835210.4988920996</v>
      </c>
      <c r="I209" cm="1">
        <f t="array" ref="I209" xml:space="preserve"> ValueAtRiskMC($T$138,A209,$S$140,$S$141,$S$142, $S$143)</f>
        <v>6231968.9575982811</v>
      </c>
      <c r="J209" cm="1">
        <f t="array" ref="J209" xml:space="preserve"> ValueAtRiskMC($U$138,A209,$S$140,$S$141,$S$142, $S$143)</f>
        <v>6657208.1438715467</v>
      </c>
    </row>
    <row r="210" spans="1:10" x14ac:dyDescent="0.25">
      <c r="A210">
        <v>64</v>
      </c>
      <c r="B210" cm="1">
        <f t="array" ref="B210" xml:space="preserve"> ValueAtRiskMC($C$138,A210,$C$140,$C$141,$C$142, $C$143)</f>
        <v>3055446.7902482161</v>
      </c>
      <c r="C210" cm="1">
        <f t="array" ref="C210" xml:space="preserve"> ValueAtRiskMC($D$138, A210,$C$140,$C$141,$C$142, $C$143)</f>
        <v>3364520.9199290369</v>
      </c>
      <c r="D210" cm="1">
        <f t="array" ref="D210" xml:space="preserve"> ValueAtRiskMC($E$138,A210,$C$140,$C$141,$C$142, $C$143)</f>
        <v>3415637.4902222482</v>
      </c>
      <c r="E210" cm="1">
        <f t="array" ref="E210" xml:space="preserve"> ValueAtRiskMC($L$138,A210,$L$140,$L$141,$L$142,$L$143)</f>
        <v>2872403.2244220213</v>
      </c>
      <c r="F210" cm="1">
        <f t="array" ref="F210" xml:space="preserve"> ValueAtRiskMC($M$138,A210,$L$140,$L$141,$L$142,$L$143)</f>
        <v>3212634.3452350479</v>
      </c>
      <c r="G210" cm="1">
        <f t="array" ref="G210" xml:space="preserve"> ValueAtRiskMC($N$138,A210,$L$140,$L$141,$L$142,$L$143)</f>
        <v>3312939.9765114975</v>
      </c>
      <c r="H210" s="10" cm="1">
        <f t="array" ref="H210" xml:space="preserve"> ValueAtRiskMC($S$138,A210,$S$140,$S$141,$S$142, $S$143)</f>
        <v>5829297.4442055738</v>
      </c>
      <c r="I210" cm="1">
        <f t="array" ref="I210" xml:space="preserve"> ValueAtRiskMC($T$138,A210,$S$140,$S$141,$S$142, $S$143)</f>
        <v>6423183.4605084956</v>
      </c>
      <c r="J210" cm="1">
        <f t="array" ref="J210" xml:space="preserve"> ValueAtRiskMC($U$138,A210,$S$140,$S$141,$S$142, $S$143)</f>
        <v>6800808.6361480905</v>
      </c>
    </row>
    <row r="211" spans="1:10" x14ac:dyDescent="0.25">
      <c r="A211">
        <v>65</v>
      </c>
      <c r="B211" cm="1">
        <f t="array" ref="B211" xml:space="preserve"> ValueAtRiskMC($C$138,A211,$C$140,$C$141,$C$142, $C$143)</f>
        <v>3011611.9761294466</v>
      </c>
      <c r="C211" cm="1">
        <f t="array" ref="C211" xml:space="preserve"> ValueAtRiskMC($D$138, A211,$C$140,$C$141,$C$142, $C$143)</f>
        <v>3359274.6210809397</v>
      </c>
      <c r="D211" cm="1">
        <f t="array" ref="D211" xml:space="preserve"> ValueAtRiskMC($E$138,A211,$C$140,$C$141,$C$142, $C$143)</f>
        <v>3501014.1957729124</v>
      </c>
      <c r="E211" cm="1">
        <f t="array" ref="E211" xml:space="preserve"> ValueAtRiskMC($L$138,A211,$L$140,$L$141,$L$142,$L$143)</f>
        <v>2947592.3051576912</v>
      </c>
      <c r="F211" cm="1">
        <f t="array" ref="F211" xml:space="preserve"> ValueAtRiskMC($M$138,A211,$L$140,$L$141,$L$142,$L$143)</f>
        <v>3335378.180308226</v>
      </c>
      <c r="G211" cm="1">
        <f t="array" ref="G211" xml:space="preserve"> ValueAtRiskMC($N$138,A211,$L$140,$L$141,$L$142,$L$143)</f>
        <v>3412970.7513841284</v>
      </c>
      <c r="H211" s="10" cm="1">
        <f t="array" ref="H211" xml:space="preserve"> ValueAtRiskMC($S$138,A211,$S$140,$S$141,$S$142, $S$143)</f>
        <v>5942439.616312406</v>
      </c>
      <c r="I211" cm="1">
        <f t="array" ref="I211" xml:space="preserve"> ValueAtRiskMC($T$138,A211,$S$140,$S$141,$S$142, $S$143)</f>
        <v>6622789.3342470843</v>
      </c>
      <c r="J211" cm="1">
        <f t="array" ref="J211" xml:space="preserve"> ValueAtRiskMC($U$138,A211,$S$140,$S$141,$S$142, $S$143)</f>
        <v>6662709.3467065245</v>
      </c>
    </row>
    <row r="212" spans="1:10" x14ac:dyDescent="0.25">
      <c r="A212">
        <v>66</v>
      </c>
      <c r="B212" cm="1">
        <f t="array" ref="B212" xml:space="preserve"> ValueAtRiskMC($C$138,A212,$C$140,$C$141,$C$142, $C$143)</f>
        <v>3117347.1877357317</v>
      </c>
      <c r="C212" cm="1">
        <f t="array" ref="C212" xml:space="preserve"> ValueAtRiskMC($D$138, A212,$C$140,$C$141,$C$142, $C$143)</f>
        <v>3510776.5164239104</v>
      </c>
      <c r="D212" cm="1">
        <f t="array" ref="D212" xml:space="preserve"> ValueAtRiskMC($E$138,A212,$C$140,$C$141,$C$142, $C$143)</f>
        <v>3480356.1851281859</v>
      </c>
      <c r="E212" cm="1">
        <f t="array" ref="E212" xml:space="preserve"> ValueAtRiskMC($L$138,A212,$L$140,$L$141,$L$142,$L$143)</f>
        <v>2963607.9900901001</v>
      </c>
      <c r="F212" cm="1">
        <f t="array" ref="F212" xml:space="preserve"> ValueAtRiskMC($M$138,A212,$L$140,$L$141,$L$142,$L$143)</f>
        <v>3385851.9253858454</v>
      </c>
      <c r="G212" cm="1">
        <f t="array" ref="G212" xml:space="preserve"> ValueAtRiskMC($N$138,A212,$L$140,$L$141,$L$142,$L$143)</f>
        <v>3456023.8990359185</v>
      </c>
      <c r="H212" s="10" cm="1">
        <f t="array" ref="H212" xml:space="preserve"> ValueAtRiskMC($S$138,A212,$S$140,$S$141,$S$142, $S$143)</f>
        <v>5957899.8181875916</v>
      </c>
      <c r="I212" cm="1">
        <f t="array" ref="I212" xml:space="preserve"> ValueAtRiskMC($T$138,A212,$S$140,$S$141,$S$142, $S$143)</f>
        <v>6673191.9946678774</v>
      </c>
      <c r="J212" cm="1">
        <f t="array" ref="J212" xml:space="preserve"> ValueAtRiskMC($U$138,A212,$S$140,$S$141,$S$142, $S$143)</f>
        <v>6819307.7200241862</v>
      </c>
    </row>
    <row r="213" spans="1:10" x14ac:dyDescent="0.25">
      <c r="A213">
        <v>67</v>
      </c>
      <c r="B213" cm="1">
        <f t="array" ref="B213" xml:space="preserve"> ValueAtRiskMC($C$138,A213,$C$140,$C$141,$C$142, $C$143)</f>
        <v>3090910.2330593383</v>
      </c>
      <c r="C213" cm="1">
        <f t="array" ref="C213" xml:space="preserve"> ValueAtRiskMC($D$138, A213,$C$140,$C$141,$C$142, $C$143)</f>
        <v>3496098.4122476899</v>
      </c>
      <c r="D213" cm="1">
        <f t="array" ref="D213" xml:space="preserve"> ValueAtRiskMC($E$138,A213,$C$140,$C$141,$C$142, $C$143)</f>
        <v>3537323.8972010305</v>
      </c>
      <c r="E213" cm="1">
        <f t="array" ref="E213" xml:space="preserve"> ValueAtRiskMC($L$138,A213,$L$140,$L$141,$L$142,$L$143)</f>
        <v>2877473.1192244617</v>
      </c>
      <c r="F213" cm="1">
        <f t="array" ref="F213" xml:space="preserve"> ValueAtRiskMC($M$138,A213,$L$140,$L$141,$L$142,$L$143)</f>
        <v>3330366.0353945671</v>
      </c>
      <c r="G213" cm="1">
        <f t="array" ref="G213" xml:space="preserve"> ValueAtRiskMC($N$138,A213,$L$140,$L$141,$L$142,$L$143)</f>
        <v>3539949.3841037676</v>
      </c>
      <c r="H213" s="10" cm="1">
        <f t="array" ref="H213" xml:space="preserve"> ValueAtRiskMC($S$138,A213,$S$140,$S$141,$S$142, $S$143)</f>
        <v>5812767.7299474832</v>
      </c>
      <c r="I213" cm="1">
        <f t="array" ref="I213" xml:space="preserve"> ValueAtRiskMC($T$138,A213,$S$140,$S$141,$S$142, $S$143)</f>
        <v>6586153.6048404584</v>
      </c>
      <c r="J213" cm="1">
        <f t="array" ref="J213" xml:space="preserve"> ValueAtRiskMC($U$138,A213,$S$140,$S$141,$S$142, $S$143)</f>
        <v>6794993.6483652871</v>
      </c>
    </row>
    <row r="214" spans="1:10" x14ac:dyDescent="0.25">
      <c r="A214">
        <v>68</v>
      </c>
      <c r="B214" cm="1">
        <f t="array" ref="B214" xml:space="preserve"> ValueAtRiskMC($C$138,A214,$C$140,$C$141,$C$142, $C$143)</f>
        <v>3060340.4260207</v>
      </c>
      <c r="C214" cm="1">
        <f t="array" ref="C214" xml:space="preserve"> ValueAtRiskMC($D$138, A214,$C$140,$C$141,$C$142, $C$143)</f>
        <v>3513677.6028877483</v>
      </c>
      <c r="D214" cm="1">
        <f t="array" ref="D214" xml:space="preserve"> ValueAtRiskMC($E$138,A214,$C$140,$C$141,$C$142, $C$143)</f>
        <v>3591771.1577471457</v>
      </c>
      <c r="E214" cm="1">
        <f t="array" ref="E214" xml:space="preserve"> ValueAtRiskMC($L$138,A214,$L$140,$L$141,$L$142,$L$143)</f>
        <v>2973784.7357543004</v>
      </c>
      <c r="F214" cm="1">
        <f t="array" ref="F214" xml:space="preserve"> ValueAtRiskMC($M$138,A214,$L$140,$L$141,$L$142,$L$143)</f>
        <v>3378043.3628262146</v>
      </c>
      <c r="G214" cm="1">
        <f t="array" ref="G214" xml:space="preserve"> ValueAtRiskMC($N$138,A214,$L$140,$L$141,$L$142,$L$143)</f>
        <v>3403038.4210084658</v>
      </c>
      <c r="H214" s="10" cm="1">
        <f t="array" ref="H214" xml:space="preserve"> ValueAtRiskMC($S$138,A214,$S$140,$S$141,$S$142, $S$143)</f>
        <v>5950944.1346948911</v>
      </c>
      <c r="I214" cm="1">
        <f t="array" ref="I214" xml:space="preserve"> ValueAtRiskMC($T$138,A214,$S$140,$S$141,$S$142, $S$143)</f>
        <v>6773704.9305156618</v>
      </c>
      <c r="J214" cm="1">
        <f t="array" ref="J214" xml:space="preserve"> ValueAtRiskMC($U$138,A214,$S$140,$S$141,$S$142, $S$143)</f>
        <v>6858785.9431307279</v>
      </c>
    </row>
    <row r="215" spans="1:10" x14ac:dyDescent="0.25">
      <c r="A215">
        <v>69</v>
      </c>
      <c r="B215" cm="1">
        <f t="array" ref="B215" xml:space="preserve"> ValueAtRiskMC($C$138,A215,$C$140,$C$141,$C$142, $C$143)</f>
        <v>3124327.1853522789</v>
      </c>
      <c r="C215" cm="1">
        <f t="array" ref="C215" xml:space="preserve"> ValueAtRiskMC($D$138, A215,$C$140,$C$141,$C$142, $C$143)</f>
        <v>3492748.0460775304</v>
      </c>
      <c r="D215" cm="1">
        <f t="array" ref="D215" xml:space="preserve"> ValueAtRiskMC($E$138,A215,$C$140,$C$141,$C$142, $C$143)</f>
        <v>3562529.7183257076</v>
      </c>
      <c r="E215" cm="1">
        <f t="array" ref="E215" xml:space="preserve"> ValueAtRiskMC($L$138,A215,$L$140,$L$141,$L$142,$L$143)</f>
        <v>3045686.1212265748</v>
      </c>
      <c r="F215" cm="1">
        <f t="array" ref="F215" xml:space="preserve"> ValueAtRiskMC($M$138,A215,$L$140,$L$141,$L$142,$L$143)</f>
        <v>3366765.4950033841</v>
      </c>
      <c r="G215" cm="1">
        <f t="array" ref="G215" xml:space="preserve"> ValueAtRiskMC($N$138,A215,$L$140,$L$141,$L$142,$L$143)</f>
        <v>3497397.6349265082</v>
      </c>
      <c r="H215" s="10" cm="1">
        <f t="array" ref="H215" xml:space="preserve"> ValueAtRiskMC($S$138,A215,$S$140,$S$141,$S$142, $S$143)</f>
        <v>5931879.1656440077</v>
      </c>
      <c r="I215" cm="1">
        <f t="array" ref="I215" xml:space="preserve"> ValueAtRiskMC($T$138,A215,$S$140,$S$141,$S$142, $S$143)</f>
        <v>6804864.5100596389</v>
      </c>
      <c r="J215" cm="1">
        <f t="array" ref="J215" xml:space="preserve"> ValueAtRiskMC($U$138,A215,$S$140,$S$141,$S$142, $S$143)</f>
        <v>6921928.0117515884</v>
      </c>
    </row>
    <row r="216" spans="1:10" x14ac:dyDescent="0.25">
      <c r="A216">
        <v>70</v>
      </c>
      <c r="B216" cm="1">
        <f t="array" ref="B216" xml:space="preserve"> ValueAtRiskMC($C$138,A216,$C$140,$C$141,$C$142, $C$143)</f>
        <v>3115139.2342570145</v>
      </c>
      <c r="C216" cm="1">
        <f t="array" ref="C216" xml:space="preserve"> ValueAtRiskMC($D$138, A216,$C$140,$C$141,$C$142, $C$143)</f>
        <v>3449830.8024909939</v>
      </c>
      <c r="D216" cm="1">
        <f t="array" ref="D216" xml:space="preserve"> ValueAtRiskMC($E$138,A216,$C$140,$C$141,$C$142, $C$143)</f>
        <v>3672008.9939460191</v>
      </c>
      <c r="E216" cm="1">
        <f t="array" ref="E216" xml:space="preserve"> ValueAtRiskMC($L$138,A216,$L$140,$L$141,$L$142,$L$143)</f>
        <v>2921992.7392365411</v>
      </c>
      <c r="F216" cm="1">
        <f t="array" ref="F216" xml:space="preserve"> ValueAtRiskMC($M$138,A216,$L$140,$L$141,$L$142,$L$143)</f>
        <v>3424694.2860082285</v>
      </c>
      <c r="G216" cm="1">
        <f t="array" ref="G216" xml:space="preserve"> ValueAtRiskMC($N$138,A216,$L$140,$L$141,$L$142,$L$143)</f>
        <v>3433379.7580209989</v>
      </c>
      <c r="H216" s="10" cm="1">
        <f t="array" ref="H216" xml:space="preserve"> ValueAtRiskMC($S$138,A216,$S$140,$S$141,$S$142, $S$143)</f>
        <v>6051687.1554128099</v>
      </c>
      <c r="I216" cm="1">
        <f t="array" ref="I216" xml:space="preserve"> ValueAtRiskMC($T$138,A216,$S$140,$S$141,$S$142, $S$143)</f>
        <v>6735332.2272253698</v>
      </c>
      <c r="J216" cm="1">
        <f t="array" ref="J216" xml:space="preserve"> ValueAtRiskMC($U$138,A216,$S$140,$S$141,$S$142, $S$143)</f>
        <v>6822228.7396657467</v>
      </c>
    </row>
    <row r="217" spans="1:10" x14ac:dyDescent="0.25">
      <c r="A217">
        <v>71</v>
      </c>
      <c r="B217" cm="1">
        <f t="array" ref="B217" xml:space="preserve"> ValueAtRiskMC($C$138,A217,$C$140,$C$141,$C$142, $C$143)</f>
        <v>3184577.6911918591</v>
      </c>
      <c r="C217" cm="1">
        <f t="array" ref="C217" xml:space="preserve"> ValueAtRiskMC($D$138, A217,$C$140,$C$141,$C$142, $C$143)</f>
        <v>3547083.729925558</v>
      </c>
      <c r="D217" cm="1">
        <f t="array" ref="D217" xml:space="preserve"> ValueAtRiskMC($E$138,A217,$C$140,$C$141,$C$142, $C$143)</f>
        <v>3585058.9866240225</v>
      </c>
      <c r="E217" cm="1">
        <f t="array" ref="E217" xml:space="preserve"> ValueAtRiskMC($L$138,A217,$L$140,$L$141,$L$142,$L$143)</f>
        <v>3016473.8008835339</v>
      </c>
      <c r="F217" cm="1">
        <f t="array" ref="F217" xml:space="preserve"> ValueAtRiskMC($M$138,A217,$L$140,$L$141,$L$142,$L$143)</f>
        <v>3477724.4376317877</v>
      </c>
      <c r="G217" cm="1">
        <f t="array" ref="G217" xml:space="preserve"> ValueAtRiskMC($N$138,A217,$L$140,$L$141,$L$142,$L$143)</f>
        <v>3462563.2126580095</v>
      </c>
      <c r="H217" s="10" cm="1">
        <f t="array" ref="H217" xml:space="preserve"> ValueAtRiskMC($S$138,A217,$S$140,$S$141,$S$142, $S$143)</f>
        <v>6066418.1287910538</v>
      </c>
      <c r="I217" cm="1">
        <f t="array" ref="I217" xml:space="preserve"> ValueAtRiskMC($T$138,A217,$S$140,$S$141,$S$142, $S$143)</f>
        <v>7059073.0214842195</v>
      </c>
      <c r="J217" cm="1">
        <f t="array" ref="J217" xml:space="preserve"> ValueAtRiskMC($U$138,A217,$S$140,$S$141,$S$142, $S$143)</f>
        <v>7250583.9359335443</v>
      </c>
    </row>
    <row r="218" spans="1:10" x14ac:dyDescent="0.25">
      <c r="A218">
        <v>72</v>
      </c>
      <c r="B218" cm="1">
        <f t="array" ref="B218" xml:space="preserve"> ValueAtRiskMC($C$138,A218,$C$140,$C$141,$C$142, $C$143)</f>
        <v>3243991.0631938707</v>
      </c>
      <c r="C218" cm="1">
        <f t="array" ref="C218" xml:space="preserve"> ValueAtRiskMC($D$138, A218,$C$140,$C$141,$C$142, $C$143)</f>
        <v>3694145.5912780692</v>
      </c>
      <c r="D218" cm="1">
        <f t="array" ref="D218" xml:space="preserve"> ValueAtRiskMC($E$138,A218,$C$140,$C$141,$C$142, $C$143)</f>
        <v>3662120.1718217218</v>
      </c>
      <c r="E218" cm="1">
        <f t="array" ref="E218" xml:space="preserve"> ValueAtRiskMC($L$138,A218,$L$140,$L$141,$L$142,$L$143)</f>
        <v>3035565.4190337565</v>
      </c>
      <c r="F218" cm="1">
        <f t="array" ref="F218" xml:space="preserve"> ValueAtRiskMC($M$138,A218,$L$140,$L$141,$L$142,$L$143)</f>
        <v>3531355.049406996</v>
      </c>
      <c r="G218" cm="1">
        <f t="array" ref="G218" xml:space="preserve"> ValueAtRiskMC($N$138,A218,$L$140,$L$141,$L$142,$L$143)</f>
        <v>3732793.8118167296</v>
      </c>
      <c r="H218" s="10" cm="1">
        <f t="array" ref="H218" xml:space="preserve"> ValueAtRiskMC($S$138,A218,$S$140,$S$141,$S$142, $S$143)</f>
        <v>6294500.2787689669</v>
      </c>
      <c r="I218" cm="1">
        <f t="array" ref="I218" xml:space="preserve"> ValueAtRiskMC($T$138,A218,$S$140,$S$141,$S$142, $S$143)</f>
        <v>7012839.0768660819</v>
      </c>
      <c r="J218" cm="1">
        <f t="array" ref="J218" xml:space="preserve"> ValueAtRiskMC($U$138,A218,$S$140,$S$141,$S$142, $S$143)</f>
        <v>7248857.2185337981</v>
      </c>
    </row>
    <row r="219" spans="1:10" x14ac:dyDescent="0.25">
      <c r="A219">
        <v>73</v>
      </c>
      <c r="B219" cm="1">
        <f t="array" ref="B219" xml:space="preserve"> ValueAtRiskMC($C$138,A219,$C$140,$C$141,$C$142, $C$143)</f>
        <v>3217955.6057548267</v>
      </c>
      <c r="C219" cm="1">
        <f t="array" ref="C219" xml:space="preserve"> ValueAtRiskMC($D$138, A219,$C$140,$C$141,$C$142, $C$143)</f>
        <v>3569790.6589504238</v>
      </c>
      <c r="D219" cm="1">
        <f t="array" ref="D219" xml:space="preserve"> ValueAtRiskMC($E$138,A219,$C$140,$C$141,$C$142, $C$143)</f>
        <v>3722791.4139630175</v>
      </c>
      <c r="E219" cm="1">
        <f t="array" ref="E219" xml:space="preserve"> ValueAtRiskMC($L$138,A219,$L$140,$L$141,$L$142,$L$143)</f>
        <v>3072024.3124408955</v>
      </c>
      <c r="F219" cm="1">
        <f t="array" ref="F219" xml:space="preserve"> ValueAtRiskMC($M$138,A219,$L$140,$L$141,$L$142,$L$143)</f>
        <v>3409890.0417192667</v>
      </c>
      <c r="G219" cm="1">
        <f t="array" ref="G219" xml:space="preserve"> ValueAtRiskMC($N$138,A219,$L$140,$L$141,$L$142,$L$143)</f>
        <v>3582807.1375494045</v>
      </c>
      <c r="H219" s="10" cm="1">
        <f t="array" ref="H219" xml:space="preserve"> ValueAtRiskMC($S$138,A219,$S$140,$S$141,$S$142, $S$143)</f>
        <v>6277242.8659651987</v>
      </c>
      <c r="I219" cm="1">
        <f t="array" ref="I219" xml:space="preserve"> ValueAtRiskMC($T$138,A219,$S$140,$S$141,$S$142, $S$143)</f>
        <v>7039276.3201319277</v>
      </c>
      <c r="J219" cm="1">
        <f t="array" ref="J219" xml:space="preserve"> ValueAtRiskMC($U$138,A219,$S$140,$S$141,$S$142, $S$143)</f>
        <v>7271834.1252437895</v>
      </c>
    </row>
    <row r="220" spans="1:10" x14ac:dyDescent="0.25">
      <c r="A220">
        <v>74</v>
      </c>
      <c r="B220" cm="1">
        <f t="array" ref="B220" xml:space="preserve"> ValueAtRiskMC($C$138,A220,$C$140,$C$141,$C$142, $C$143)</f>
        <v>3264046.0094245058</v>
      </c>
      <c r="C220" cm="1">
        <f t="array" ref="C220" xml:space="preserve"> ValueAtRiskMC($D$138, A220,$C$140,$C$141,$C$142, $C$143)</f>
        <v>3565962.6895707957</v>
      </c>
      <c r="D220" cm="1">
        <f t="array" ref="D220" xml:space="preserve"> ValueAtRiskMC($E$138,A220,$C$140,$C$141,$C$142, $C$143)</f>
        <v>3744768.8576232865</v>
      </c>
      <c r="E220" cm="1">
        <f t="array" ref="E220" xml:space="preserve"> ValueAtRiskMC($L$138,A220,$L$140,$L$141,$L$142,$L$143)</f>
        <v>2986991.4701535814</v>
      </c>
      <c r="F220" cm="1">
        <f t="array" ref="F220" xml:space="preserve"> ValueAtRiskMC($M$138,A220,$L$140,$L$141,$L$142,$L$143)</f>
        <v>3492844.6289497344</v>
      </c>
      <c r="G220" cm="1">
        <f t="array" ref="G220" xml:space="preserve"> ValueAtRiskMC($N$138,A220,$L$140,$L$141,$L$142,$L$143)</f>
        <v>3563371.5158190611</v>
      </c>
      <c r="H220" s="10" cm="1">
        <f t="array" ref="H220" xml:space="preserve"> ValueAtRiskMC($S$138,A220,$S$140,$S$141,$S$142, $S$143)</f>
        <v>6187215.9949289374</v>
      </c>
      <c r="I220" cm="1">
        <f t="array" ref="I220" xml:space="preserve"> ValueAtRiskMC($T$138,A220,$S$140,$S$141,$S$142, $S$143)</f>
        <v>6929246.6491679652</v>
      </c>
      <c r="J220" cm="1">
        <f t="array" ref="J220" xml:space="preserve"> ValueAtRiskMC($U$138,A220,$S$140,$S$141,$S$142, $S$143)</f>
        <v>7288074.9864266943</v>
      </c>
    </row>
    <row r="221" spans="1:10" x14ac:dyDescent="0.25">
      <c r="A221">
        <v>75</v>
      </c>
      <c r="B221" cm="1">
        <f t="array" ref="B221" xml:space="preserve"> ValueAtRiskMC($C$138,A221,$C$140,$C$141,$C$142, $C$143)</f>
        <v>3314339.917799022</v>
      </c>
      <c r="C221" cm="1">
        <f t="array" ref="C221" xml:space="preserve"> ValueAtRiskMC($D$138, A221,$C$140,$C$141,$C$142, $C$143)</f>
        <v>3752022.6287478521</v>
      </c>
      <c r="D221" cm="1">
        <f t="array" ref="D221" xml:space="preserve"> ValueAtRiskMC($E$138,A221,$C$140,$C$141,$C$142, $C$143)</f>
        <v>3798483.4858805947</v>
      </c>
      <c r="E221" cm="1">
        <f t="array" ref="E221" xml:space="preserve"> ValueAtRiskMC($L$138,A221,$L$140,$L$141,$L$142,$L$143)</f>
        <v>3078130.2612292934</v>
      </c>
      <c r="F221" cm="1">
        <f t="array" ref="F221" xml:space="preserve"> ValueAtRiskMC($M$138,A221,$L$140,$L$141,$L$142,$L$143)</f>
        <v>3494076.8369812109</v>
      </c>
      <c r="G221" cm="1">
        <f t="array" ref="G221" xml:space="preserve"> ValueAtRiskMC($N$138,A221,$L$140,$L$141,$L$142,$L$143)</f>
        <v>3501071.9848229457</v>
      </c>
      <c r="H221" s="10" cm="1">
        <f t="array" ref="H221" xml:space="preserve"> ValueAtRiskMC($S$138,A221,$S$140,$S$141,$S$142, $S$143)</f>
        <v>6320276.8230391145</v>
      </c>
      <c r="I221" cm="1">
        <f t="array" ref="I221" xml:space="preserve"> ValueAtRiskMC($T$138,A221,$S$140,$S$141,$S$142, $S$143)</f>
        <v>7073784.6608018661</v>
      </c>
      <c r="J221" cm="1">
        <f t="array" ref="J221" xml:space="preserve"> ValueAtRiskMC($U$138,A221,$S$140,$S$141,$S$142, $S$143)</f>
        <v>7279538.6339303833</v>
      </c>
    </row>
    <row r="222" spans="1:10" x14ac:dyDescent="0.25">
      <c r="A222">
        <v>76</v>
      </c>
      <c r="B222" cm="1">
        <f t="array" ref="B222" xml:space="preserve"> ValueAtRiskMC($C$138,A222,$C$140,$C$141,$C$142, $C$143)</f>
        <v>3230200.4794185893</v>
      </c>
      <c r="C222" cm="1">
        <f t="array" ref="C222" xml:space="preserve"> ValueAtRiskMC($D$138, A222,$C$140,$C$141,$C$142, $C$143)</f>
        <v>3709321.856147734</v>
      </c>
      <c r="D222" cm="1">
        <f t="array" ref="D222" xml:space="preserve"> ValueAtRiskMC($E$138,A222,$C$140,$C$141,$C$142, $C$143)</f>
        <v>3827847.8442707025</v>
      </c>
      <c r="E222" cm="1">
        <f t="array" ref="E222" xml:space="preserve"> ValueAtRiskMC($L$138,A222,$L$140,$L$141,$L$142,$L$143)</f>
        <v>3052009.7773924363</v>
      </c>
      <c r="F222" cm="1">
        <f t="array" ref="F222" xml:space="preserve"> ValueAtRiskMC($M$138,A222,$L$140,$L$141,$L$142,$L$143)</f>
        <v>3526014.5332418666</v>
      </c>
      <c r="G222" cm="1">
        <f t="array" ref="G222" xml:space="preserve"> ValueAtRiskMC($N$138,A222,$L$140,$L$141,$L$142,$L$143)</f>
        <v>3527688.475281965</v>
      </c>
      <c r="H222" s="10" cm="1">
        <f t="array" ref="H222" xml:space="preserve"> ValueAtRiskMC($S$138,A222,$S$140,$S$141,$S$142, $S$143)</f>
        <v>6221869.1088593584</v>
      </c>
      <c r="I222" cm="1">
        <f t="array" ref="I222" xml:space="preserve"> ValueAtRiskMC($T$138,A222,$S$140,$S$141,$S$142, $S$143)</f>
        <v>7105187.2435243716</v>
      </c>
      <c r="J222" cm="1">
        <f t="array" ref="J222" xml:space="preserve"> ValueAtRiskMC($U$138,A222,$S$140,$S$141,$S$142, $S$143)</f>
        <v>7396286.0702106711</v>
      </c>
    </row>
    <row r="223" spans="1:10" x14ac:dyDescent="0.25">
      <c r="A223">
        <v>77</v>
      </c>
      <c r="B223" cm="1">
        <f t="array" ref="B223" xml:space="preserve"> ValueAtRiskMC($C$138,A223,$C$140,$C$141,$C$142, $C$143)</f>
        <v>3369320.9404989071</v>
      </c>
      <c r="C223" cm="1">
        <f t="array" ref="C223" xml:space="preserve"> ValueAtRiskMC($D$138, A223,$C$140,$C$141,$C$142, $C$143)</f>
        <v>3780233.1723510958</v>
      </c>
      <c r="D223" cm="1">
        <f t="array" ref="D223" xml:space="preserve"> ValueAtRiskMC($E$138,A223,$C$140,$C$141,$C$142, $C$143)</f>
        <v>3821601.1957609016</v>
      </c>
      <c r="E223" cm="1">
        <f t="array" ref="E223" xml:space="preserve"> ValueAtRiskMC($L$138,A223,$L$140,$L$141,$L$142,$L$143)</f>
        <v>3174620.9330483424</v>
      </c>
      <c r="F223" cm="1">
        <f t="array" ref="F223" xml:space="preserve"> ValueAtRiskMC($M$138,A223,$L$140,$L$141,$L$142,$L$143)</f>
        <v>3609165.0091901924</v>
      </c>
      <c r="G223" cm="1">
        <f t="array" ref="G223" xml:space="preserve"> ValueAtRiskMC($N$138,A223,$L$140,$L$141,$L$142,$L$143)</f>
        <v>3644229.6012939746</v>
      </c>
      <c r="H223" s="10" cm="1">
        <f t="array" ref="H223" xml:space="preserve"> ValueAtRiskMC($S$138,A223,$S$140,$S$141,$S$142, $S$143)</f>
        <v>6406351.7331072213</v>
      </c>
      <c r="I223" cm="1">
        <f t="array" ref="I223" xml:space="preserve"> ValueAtRiskMC($T$138,A223,$S$140,$S$141,$S$142, $S$143)</f>
        <v>7211592.8308298523</v>
      </c>
      <c r="J223" cm="1">
        <f t="array" ref="J223" xml:space="preserve"> ValueAtRiskMC($U$138,A223,$S$140,$S$141,$S$142, $S$143)</f>
        <v>7377085.3866012422</v>
      </c>
    </row>
    <row r="224" spans="1:10" x14ac:dyDescent="0.25">
      <c r="A224">
        <v>78</v>
      </c>
      <c r="B224" cm="1">
        <f t="array" ref="B224" xml:space="preserve"> ValueAtRiskMC($C$138,A224,$C$140,$C$141,$C$142, $C$143)</f>
        <v>3311010.0997523121</v>
      </c>
      <c r="C224" cm="1">
        <f t="array" ref="C224" xml:space="preserve"> ValueAtRiskMC($D$138, A224,$C$140,$C$141,$C$142, $C$143)</f>
        <v>3715435.3797011459</v>
      </c>
      <c r="D224" cm="1">
        <f t="array" ref="D224" xml:space="preserve"> ValueAtRiskMC($E$138,A224,$C$140,$C$141,$C$142, $C$143)</f>
        <v>3891224.387938044</v>
      </c>
      <c r="E224" cm="1">
        <f t="array" ref="E224" xml:space="preserve"> ValueAtRiskMC($L$138,A224,$L$140,$L$141,$L$142,$L$143)</f>
        <v>3081501.1035440438</v>
      </c>
      <c r="F224" cm="1">
        <f t="array" ref="F224" xml:space="preserve"> ValueAtRiskMC($M$138,A224,$L$140,$L$141,$L$142,$L$143)</f>
        <v>3728461.4189285403</v>
      </c>
      <c r="G224" cm="1">
        <f t="array" ref="G224" xml:space="preserve"> ValueAtRiskMC($N$138,A224,$L$140,$L$141,$L$142,$L$143)</f>
        <v>3616245.4356992906</v>
      </c>
      <c r="H224" s="10" cm="1">
        <f t="array" ref="H224" xml:space="preserve"> ValueAtRiskMC($S$138,A224,$S$140,$S$141,$S$142, $S$143)</f>
        <v>6282225.1591539579</v>
      </c>
      <c r="I224" cm="1">
        <f t="array" ref="I224" xml:space="preserve"> ValueAtRiskMC($T$138,A224,$S$140,$S$141,$S$142, $S$143)</f>
        <v>7197959.6843315009</v>
      </c>
      <c r="J224" cm="1">
        <f t="array" ref="J224" xml:space="preserve"> ValueAtRiskMC($U$138,A224,$S$140,$S$141,$S$142, $S$143)</f>
        <v>7466287.9167814134</v>
      </c>
    </row>
    <row r="225" spans="1:10" x14ac:dyDescent="0.25">
      <c r="A225">
        <v>79</v>
      </c>
      <c r="B225" cm="1">
        <f t="array" ref="B225" xml:space="preserve"> ValueAtRiskMC($C$138,A225,$C$140,$C$141,$C$142, $C$143)</f>
        <v>3418673.2342318092</v>
      </c>
      <c r="C225" cm="1">
        <f t="array" ref="C225" xml:space="preserve"> ValueAtRiskMC($D$138, A225,$C$140,$C$141,$C$142, $C$143)</f>
        <v>3732306.2041044314</v>
      </c>
      <c r="D225" cm="1">
        <f t="array" ref="D225" xml:space="preserve"> ValueAtRiskMC($E$138,A225,$C$140,$C$141,$C$142, $C$143)</f>
        <v>3954639.4720381792</v>
      </c>
      <c r="E225" cm="1">
        <f t="array" ref="E225" xml:space="preserve"> ValueAtRiskMC($L$138,A225,$L$140,$L$141,$L$142,$L$143)</f>
        <v>3251126.6268755184</v>
      </c>
      <c r="F225" cm="1">
        <f t="array" ref="F225" xml:space="preserve"> ValueAtRiskMC($M$138,A225,$L$140,$L$141,$L$142,$L$143)</f>
        <v>3668336.2411025711</v>
      </c>
      <c r="G225" cm="1">
        <f t="array" ref="G225" xml:space="preserve"> ValueAtRiskMC($N$138,A225,$L$140,$L$141,$L$142,$L$143)</f>
        <v>3746522.3560846588</v>
      </c>
      <c r="H225" s="10" cm="1">
        <f t="array" ref="H225" xml:space="preserve"> ValueAtRiskMC($S$138,A225,$S$140,$S$141,$S$142, $S$143)</f>
        <v>6482551.9168030173</v>
      </c>
      <c r="I225" cm="1">
        <f t="array" ref="I225" xml:space="preserve"> ValueAtRiskMC($T$138,A225,$S$140,$S$141,$S$142, $S$143)</f>
        <v>7144579.3761875955</v>
      </c>
      <c r="J225" cm="1">
        <f t="array" ref="J225" xml:space="preserve"> ValueAtRiskMC($U$138,A225,$S$140,$S$141,$S$142, $S$143)</f>
        <v>7421304.2179048965</v>
      </c>
    </row>
    <row r="226" spans="1:10" x14ac:dyDescent="0.25">
      <c r="A226">
        <v>80</v>
      </c>
      <c r="B226" cm="1">
        <f t="array" ref="B226" xml:space="preserve"> ValueAtRiskMC($C$138,A226,$C$140,$C$141,$C$142, $C$143)</f>
        <v>3399372.6403333265</v>
      </c>
      <c r="C226" cm="1">
        <f t="array" ref="C226" xml:space="preserve"> ValueAtRiskMC($D$138, A226,$C$140,$C$141,$C$142, $C$143)</f>
        <v>3770050.0334845362</v>
      </c>
      <c r="D226" cm="1">
        <f t="array" ref="D226" xml:space="preserve"> ValueAtRiskMC($E$138,A226,$C$140,$C$141,$C$142, $C$143)</f>
        <v>3752680.2130662021</v>
      </c>
      <c r="E226" cm="1">
        <f t="array" ref="E226" xml:space="preserve"> ValueAtRiskMC($L$138,A226,$L$140,$L$141,$L$142,$L$143)</f>
        <v>3150893.4119066088</v>
      </c>
      <c r="F226" cm="1">
        <f t="array" ref="F226" xml:space="preserve"> ValueAtRiskMC($M$138,A226,$L$140,$L$141,$L$142,$L$143)</f>
        <v>3622888.1993763223</v>
      </c>
      <c r="G226" cm="1">
        <f t="array" ref="G226" xml:space="preserve"> ValueAtRiskMC($N$138,A226,$L$140,$L$141,$L$142,$L$143)</f>
        <v>3847706.396937835</v>
      </c>
      <c r="H226" s="10" cm="1">
        <f t="array" ref="H226" xml:space="preserve"> ValueAtRiskMC($S$138,A226,$S$140,$S$141,$S$142, $S$143)</f>
        <v>6472561.0532533899</v>
      </c>
      <c r="I226" cm="1">
        <f t="array" ref="I226" xml:space="preserve"> ValueAtRiskMC($T$138,A226,$S$140,$S$141,$S$142, $S$143)</f>
        <v>7321066.2922637416</v>
      </c>
      <c r="J226" cm="1">
        <f t="array" ref="J226" xml:space="preserve"> ValueAtRiskMC($U$138,A226,$S$140,$S$141,$S$142, $S$143)</f>
        <v>7475542.8605056815</v>
      </c>
    </row>
    <row r="227" spans="1:10" x14ac:dyDescent="0.25">
      <c r="A227">
        <v>81</v>
      </c>
      <c r="B227" cm="1">
        <f t="array" ref="B227" xml:space="preserve"> ValueAtRiskMC($C$138,A227,$C$140,$C$141,$C$142, $C$143)</f>
        <v>3400608.6784206624</v>
      </c>
      <c r="C227" cm="1">
        <f t="array" ref="C227" xml:space="preserve"> ValueAtRiskMC($D$138, A227,$C$140,$C$141,$C$142, $C$143)</f>
        <v>3851802.0247719851</v>
      </c>
      <c r="D227" cm="1">
        <f t="array" ref="D227" xml:space="preserve"> ValueAtRiskMC($E$138,A227,$C$140,$C$141,$C$142, $C$143)</f>
        <v>3901893.2042925046</v>
      </c>
      <c r="E227" cm="1">
        <f t="array" ref="E227" xml:space="preserve"> ValueAtRiskMC($L$138,A227,$L$140,$L$141,$L$142,$L$143)</f>
        <v>3281226.1502236794</v>
      </c>
      <c r="F227" cm="1">
        <f t="array" ref="F227" xml:space="preserve"> ValueAtRiskMC($M$138,A227,$L$140,$L$141,$L$142,$L$143)</f>
        <v>3668319.1177740386</v>
      </c>
      <c r="G227" cm="1">
        <f t="array" ref="G227" xml:space="preserve"> ValueAtRiskMC($N$138,A227,$L$140,$L$141,$L$142,$L$143)</f>
        <v>3791206.2408858812</v>
      </c>
      <c r="H227" s="10" cm="1">
        <f t="array" ref="H227" xml:space="preserve"> ValueAtRiskMC($S$138,A227,$S$140,$S$141,$S$142, $S$143)</f>
        <v>6433935.9451982277</v>
      </c>
      <c r="I227" cm="1">
        <f t="array" ref="I227" xml:space="preserve"> ValueAtRiskMC($T$138,A227,$S$140,$S$141,$S$142, $S$143)</f>
        <v>7556868.9128039656</v>
      </c>
      <c r="J227" cm="1">
        <f t="array" ref="J227" xml:space="preserve"> ValueAtRiskMC($U$138,A227,$S$140,$S$141,$S$142, $S$143)</f>
        <v>7497558.0154341916</v>
      </c>
    </row>
    <row r="228" spans="1:10" x14ac:dyDescent="0.25">
      <c r="A228">
        <v>82</v>
      </c>
      <c r="B228" cm="1">
        <f t="array" ref="B228" xml:space="preserve"> ValueAtRiskMC($C$138,A228,$C$140,$C$141,$C$142, $C$143)</f>
        <v>3412860.6987032522</v>
      </c>
      <c r="C228" cm="1">
        <f t="array" ref="C228" xml:space="preserve"> ValueAtRiskMC($D$138, A228,$C$140,$C$141,$C$142, $C$143)</f>
        <v>3881545.9645913895</v>
      </c>
      <c r="D228" cm="1">
        <f t="array" ref="D228" xml:space="preserve"> ValueAtRiskMC($E$138,A228,$C$140,$C$141,$C$142, $C$143)</f>
        <v>3928339.0963689396</v>
      </c>
      <c r="E228" cm="1">
        <f t="array" ref="E228" xml:space="preserve"> ValueAtRiskMC($L$138,A228,$L$140,$L$141,$L$142,$L$143)</f>
        <v>3153673.6547213974</v>
      </c>
      <c r="F228" cm="1">
        <f t="array" ref="F228" xml:space="preserve"> ValueAtRiskMC($M$138,A228,$L$140,$L$141,$L$142,$L$143)</f>
        <v>3696033.0929255397</v>
      </c>
      <c r="G228" cm="1">
        <f t="array" ref="G228" xml:space="preserve"> ValueAtRiskMC($N$138,A228,$L$140,$L$141,$L$142,$L$143)</f>
        <v>3740094.2017207881</v>
      </c>
      <c r="H228" s="10" cm="1">
        <f t="array" ref="H228" xml:space="preserve"> ValueAtRiskMC($S$138,A228,$S$140,$S$141,$S$142, $S$143)</f>
        <v>6598295.4348636856</v>
      </c>
      <c r="I228" cm="1">
        <f t="array" ref="I228" xml:space="preserve"> ValueAtRiskMC($T$138,A228,$S$140,$S$141,$S$142, $S$143)</f>
        <v>7603276.1628844189</v>
      </c>
      <c r="J228" cm="1">
        <f t="array" ref="J228" xml:space="preserve"> ValueAtRiskMC($U$138,A228,$S$140,$S$141,$S$142, $S$143)</f>
        <v>7751509.2506459663</v>
      </c>
    </row>
    <row r="229" spans="1:10" x14ac:dyDescent="0.25">
      <c r="A229">
        <v>83</v>
      </c>
      <c r="B229" cm="1">
        <f t="array" ref="B229" xml:space="preserve"> ValueAtRiskMC($C$138,A229,$C$140,$C$141,$C$142, $C$143)</f>
        <v>3448030.1018478889</v>
      </c>
      <c r="C229" cm="1">
        <f t="array" ref="C229" xml:space="preserve"> ValueAtRiskMC($D$138, A229,$C$140,$C$141,$C$142, $C$143)</f>
        <v>3863246.2192821805</v>
      </c>
      <c r="D229" cm="1">
        <f t="array" ref="D229" xml:space="preserve"> ValueAtRiskMC($E$138,A229,$C$140,$C$141,$C$142, $C$143)</f>
        <v>3986755.6663878388</v>
      </c>
      <c r="E229" cm="1">
        <f t="array" ref="E229" xml:space="preserve"> ValueAtRiskMC($L$138,A229,$L$140,$L$141,$L$142,$L$143)</f>
        <v>3235111.0951530808</v>
      </c>
      <c r="F229" cm="1">
        <f t="array" ref="F229" xml:space="preserve"> ValueAtRiskMC($M$138,A229,$L$140,$L$141,$L$142,$L$143)</f>
        <v>3656630.6772750029</v>
      </c>
      <c r="G229" cm="1">
        <f t="array" ref="G229" xml:space="preserve"> ValueAtRiskMC($N$138,A229,$L$140,$L$141,$L$142,$L$143)</f>
        <v>3871426.543244313</v>
      </c>
      <c r="H229" s="10" cm="1">
        <f t="array" ref="H229" xml:space="preserve"> ValueAtRiskMC($S$138,A229,$S$140,$S$141,$S$142, $S$143)</f>
        <v>6535848.275110607</v>
      </c>
      <c r="I229" cm="1">
        <f t="array" ref="I229" xml:space="preserve"> ValueAtRiskMC($T$138,A229,$S$140,$S$141,$S$142, $S$143)</f>
        <v>7689128.4043065114</v>
      </c>
      <c r="J229" cm="1">
        <f t="array" ref="J229" xml:space="preserve"> ValueAtRiskMC($U$138,A229,$S$140,$S$141,$S$142, $S$143)</f>
        <v>7668421.2038381947</v>
      </c>
    </row>
    <row r="230" spans="1:10" x14ac:dyDescent="0.25">
      <c r="A230">
        <v>84</v>
      </c>
      <c r="B230" cm="1">
        <f t="array" ref="B230" xml:space="preserve"> ValueAtRiskMC($C$138,A230,$C$140,$C$141,$C$142, $C$143)</f>
        <v>3472240.0926451012</v>
      </c>
      <c r="C230" cm="1">
        <f t="array" ref="C230" xml:space="preserve"> ValueAtRiskMC($D$138, A230,$C$140,$C$141,$C$142, $C$143)</f>
        <v>3824302.5553088114</v>
      </c>
      <c r="D230" cm="1">
        <f t="array" ref="D230" xml:space="preserve"> ValueAtRiskMC($E$138,A230,$C$140,$C$141,$C$142, $C$143)</f>
        <v>3983786.1321913204</v>
      </c>
      <c r="E230" cm="1">
        <f t="array" ref="E230" xml:space="preserve"> ValueAtRiskMC($L$138,A230,$L$140,$L$141,$L$142,$L$143)</f>
        <v>3274001.3920145817</v>
      </c>
      <c r="F230" cm="1">
        <f t="array" ref="F230" xml:space="preserve"> ValueAtRiskMC($M$138,A230,$L$140,$L$141,$L$142,$L$143)</f>
        <v>3655960.740647071</v>
      </c>
      <c r="G230" cm="1">
        <f t="array" ref="G230" xml:space="preserve"> ValueAtRiskMC($N$138,A230,$L$140,$L$141,$L$142,$L$143)</f>
        <v>3772658.7157422383</v>
      </c>
      <c r="H230" s="10" cm="1">
        <f t="array" ref="H230" xml:space="preserve"> ValueAtRiskMC($S$138,A230,$S$140,$S$141,$S$142, $S$143)</f>
        <v>6619862.1366472468</v>
      </c>
      <c r="I230" cm="1">
        <f t="array" ref="I230" xml:space="preserve"> ValueAtRiskMC($T$138,A230,$S$140,$S$141,$S$142, $S$143)</f>
        <v>7346900.5789955854</v>
      </c>
      <c r="J230" cm="1">
        <f t="array" ref="J230" xml:space="preserve"> ValueAtRiskMC($U$138,A230,$S$140,$S$141,$S$142, $S$143)</f>
        <v>7675320.4711014079</v>
      </c>
    </row>
    <row r="231" spans="1:10" x14ac:dyDescent="0.25">
      <c r="A231">
        <v>85</v>
      </c>
      <c r="B231" cm="1">
        <f t="array" ref="B231" xml:space="preserve"> ValueAtRiskMC($C$138,A231,$C$140,$C$141,$C$142, $C$143)</f>
        <v>3498798.2664218256</v>
      </c>
      <c r="C231" cm="1">
        <f t="array" ref="C231" xml:space="preserve"> ValueAtRiskMC($D$138, A231,$C$140,$C$141,$C$142, $C$143)</f>
        <v>3914996.5373515631</v>
      </c>
      <c r="D231" cm="1">
        <f t="array" ref="D231" xml:space="preserve"> ValueAtRiskMC($E$138,A231,$C$140,$C$141,$C$142, $C$143)</f>
        <v>4002207.543016281</v>
      </c>
      <c r="E231" cm="1">
        <f t="array" ref="E231" xml:space="preserve"> ValueAtRiskMC($L$138,A231,$L$140,$L$141,$L$142,$L$143)</f>
        <v>3251069.0259761331</v>
      </c>
      <c r="F231" cm="1">
        <f t="array" ref="F231" xml:space="preserve"> ValueAtRiskMC($M$138,A231,$L$140,$L$141,$L$142,$L$143)</f>
        <v>3807806.2675288692</v>
      </c>
      <c r="G231" cm="1">
        <f t="array" ref="G231" xml:space="preserve"> ValueAtRiskMC($N$138,A231,$L$140,$L$141,$L$142,$L$143)</f>
        <v>3788254.9877619883</v>
      </c>
      <c r="H231" s="10" cm="1">
        <f t="array" ref="H231" xml:space="preserve"> ValueAtRiskMC($S$138,A231,$S$140,$S$141,$S$142, $S$143)</f>
        <v>6788671.125582695</v>
      </c>
      <c r="I231" cm="1">
        <f t="array" ref="I231" xml:space="preserve"> ValueAtRiskMC($T$138,A231,$S$140,$S$141,$S$142, $S$143)</f>
        <v>7502133.8354112618</v>
      </c>
      <c r="J231" cm="1">
        <f t="array" ref="J231" xml:space="preserve"> ValueAtRiskMC($U$138,A231,$S$140,$S$141,$S$142, $S$143)</f>
        <v>7702708.7008090699</v>
      </c>
    </row>
    <row r="232" spans="1:10" x14ac:dyDescent="0.25">
      <c r="A232">
        <v>86</v>
      </c>
      <c r="B232" cm="1">
        <f t="array" ref="B232" xml:space="preserve"> ValueAtRiskMC($C$138,A232,$C$140,$C$141,$C$142, $C$143)</f>
        <v>3520620.7186524239</v>
      </c>
      <c r="C232" cm="1">
        <f t="array" ref="C232" xml:space="preserve"> ValueAtRiskMC($D$138, A232,$C$140,$C$141,$C$142, $C$143)</f>
        <v>3924758.4832255999</v>
      </c>
      <c r="D232" cm="1">
        <f t="array" ref="D232" xml:space="preserve"> ValueAtRiskMC($E$138,A232,$C$140,$C$141,$C$142, $C$143)</f>
        <v>3970163.2878691456</v>
      </c>
      <c r="E232" cm="1">
        <f t="array" ref="E232" xml:space="preserve"> ValueAtRiskMC($L$138,A232,$L$140,$L$141,$L$142,$L$143)</f>
        <v>3310792.080710988</v>
      </c>
      <c r="F232" cm="1">
        <f t="array" ref="F232" xml:space="preserve"> ValueAtRiskMC($M$138,A232,$L$140,$L$141,$L$142,$L$143)</f>
        <v>3809332.5878536222</v>
      </c>
      <c r="G232" cm="1">
        <f t="array" ref="G232" xml:space="preserve"> ValueAtRiskMC($N$138,A232,$L$140,$L$141,$L$142,$L$143)</f>
        <v>4072141.3613042026</v>
      </c>
      <c r="H232" s="10" cm="1">
        <f t="array" ref="H232" xml:space="preserve"> ValueAtRiskMC($S$138,A232,$S$140,$S$141,$S$142, $S$143)</f>
        <v>6639112.4409758681</v>
      </c>
      <c r="I232" cm="1">
        <f t="array" ref="I232" xml:space="preserve"> ValueAtRiskMC($T$138,A232,$S$140,$S$141,$S$142, $S$143)</f>
        <v>7655162.8394517982</v>
      </c>
      <c r="J232" cm="1">
        <f t="array" ref="J232" xml:space="preserve"> ValueAtRiskMC($U$138,A232,$S$140,$S$141,$S$142, $S$143)</f>
        <v>7818820.9164318331</v>
      </c>
    </row>
    <row r="233" spans="1:10" x14ac:dyDescent="0.25">
      <c r="A233">
        <v>87</v>
      </c>
      <c r="B233" cm="1">
        <f t="array" ref="B233" xml:space="preserve"> ValueAtRiskMC($C$138,A233,$C$140,$C$141,$C$142, $C$143)</f>
        <v>3554945.2436363529</v>
      </c>
      <c r="C233" cm="1">
        <f t="array" ref="C233" xml:space="preserve"> ValueAtRiskMC($D$138, A233,$C$140,$C$141,$C$142, $C$143)</f>
        <v>3897953.443472649</v>
      </c>
      <c r="D233" cm="1">
        <f t="array" ref="D233" xml:space="preserve"> ValueAtRiskMC($E$138,A233,$C$140,$C$141,$C$142, $C$143)</f>
        <v>3986203.5983752715</v>
      </c>
      <c r="E233" cm="1">
        <f t="array" ref="E233" xml:space="preserve"> ValueAtRiskMC($L$138,A233,$L$140,$L$141,$L$142,$L$143)</f>
        <v>3280139.5729825529</v>
      </c>
      <c r="F233" cm="1">
        <f t="array" ref="F233" xml:space="preserve"> ValueAtRiskMC($M$138,A233,$L$140,$L$141,$L$142,$L$143)</f>
        <v>3818621.9424793795</v>
      </c>
      <c r="G233" cm="1">
        <f t="array" ref="G233" xml:space="preserve"> ValueAtRiskMC($N$138,A233,$L$140,$L$141,$L$142,$L$143)</f>
        <v>3775798.4503977871</v>
      </c>
      <c r="H233" s="10" cm="1">
        <f t="array" ref="H233" xml:space="preserve"> ValueAtRiskMC($S$138,A233,$S$140,$S$141,$S$142, $S$143)</f>
        <v>6594544.221207859</v>
      </c>
      <c r="I233" cm="1">
        <f t="array" ref="I233" xml:space="preserve"> ValueAtRiskMC($T$138,A233,$S$140,$S$141,$S$142, $S$143)</f>
        <v>7641842.1603465108</v>
      </c>
      <c r="J233" cm="1">
        <f t="array" ref="J233" xml:space="preserve"> ValueAtRiskMC($U$138,A233,$S$140,$S$141,$S$142, $S$143)</f>
        <v>7546211.7515439633</v>
      </c>
    </row>
    <row r="234" spans="1:10" x14ac:dyDescent="0.25">
      <c r="A234">
        <v>88</v>
      </c>
      <c r="B234" cm="1">
        <f t="array" ref="B234" xml:space="preserve"> ValueAtRiskMC($C$138,A234,$C$140,$C$141,$C$142, $C$143)</f>
        <v>3517161.5464926921</v>
      </c>
      <c r="C234" cm="1">
        <f t="array" ref="C234" xml:space="preserve"> ValueAtRiskMC($D$138, A234,$C$140,$C$141,$C$142, $C$143)</f>
        <v>3959690.3530053454</v>
      </c>
      <c r="D234" cm="1">
        <f t="array" ref="D234" xml:space="preserve"> ValueAtRiskMC($E$138,A234,$C$140,$C$141,$C$142, $C$143)</f>
        <v>4161091.2025784347</v>
      </c>
      <c r="E234" cm="1">
        <f t="array" ref="E234" xml:space="preserve"> ValueAtRiskMC($L$138,A234,$L$140,$L$141,$L$142,$L$143)</f>
        <v>3275762.1632261304</v>
      </c>
      <c r="F234" cm="1">
        <f t="array" ref="F234" xml:space="preserve"> ValueAtRiskMC($M$138,A234,$L$140,$L$141,$L$142,$L$143)</f>
        <v>3841436.63845499</v>
      </c>
      <c r="G234" cm="1">
        <f t="array" ref="G234" xml:space="preserve"> ValueAtRiskMC($N$138,A234,$L$140,$L$141,$L$142,$L$143)</f>
        <v>3963115.0403673914</v>
      </c>
      <c r="H234" s="10" cm="1">
        <f t="array" ref="H234" xml:space="preserve"> ValueAtRiskMC($S$138,A234,$S$140,$S$141,$S$142, $S$143)</f>
        <v>6631059.7660268107</v>
      </c>
      <c r="I234" cm="1">
        <f t="array" ref="I234" xml:space="preserve"> ValueAtRiskMC($T$138,A234,$S$140,$S$141,$S$142, $S$143)</f>
        <v>7693425.5756212128</v>
      </c>
      <c r="J234" cm="1">
        <f t="array" ref="J234" xml:space="preserve"> ValueAtRiskMC($U$138,A234,$S$140,$S$141,$S$142, $S$143)</f>
        <v>7844630.7389707835</v>
      </c>
    </row>
    <row r="235" spans="1:10" x14ac:dyDescent="0.25">
      <c r="A235">
        <v>89</v>
      </c>
      <c r="B235" cm="1">
        <f t="array" ref="B235" xml:space="preserve"> ValueAtRiskMC($C$138,A235,$C$140,$C$141,$C$142, $C$143)</f>
        <v>3565466.1757026077</v>
      </c>
      <c r="C235" cm="1">
        <f t="array" ref="C235" xml:space="preserve"> ValueAtRiskMC($D$138, A235,$C$140,$C$141,$C$142, $C$143)</f>
        <v>3980395.9027103032</v>
      </c>
      <c r="D235" cm="1">
        <f t="array" ref="D235" xml:space="preserve"> ValueAtRiskMC($E$138,A235,$C$140,$C$141,$C$142, $C$143)</f>
        <v>4218674.2326016743</v>
      </c>
      <c r="E235" cm="1">
        <f t="array" ref="E235" xml:space="preserve"> ValueAtRiskMC($L$138,A235,$L$140,$L$141,$L$142,$L$143)</f>
        <v>3304579.6318211071</v>
      </c>
      <c r="F235" cm="1">
        <f t="array" ref="F235" xml:space="preserve"> ValueAtRiskMC($M$138,A235,$L$140,$L$141,$L$142,$L$143)</f>
        <v>3800871.0873064203</v>
      </c>
      <c r="G235" cm="1">
        <f t="array" ref="G235" xml:space="preserve"> ValueAtRiskMC($N$138,A235,$L$140,$L$141,$L$142,$L$143)</f>
        <v>3872675.4765944364</v>
      </c>
      <c r="H235" s="10" cm="1">
        <f t="array" ref="H235" xml:space="preserve"> ValueAtRiskMC($S$138,A235,$S$140,$S$141,$S$142, $S$143)</f>
        <v>6860023.9987080386</v>
      </c>
      <c r="I235" cm="1">
        <f t="array" ref="I235" xml:space="preserve"> ValueAtRiskMC($T$138,A235,$S$140,$S$141,$S$142, $S$143)</f>
        <v>7806472.2007496813</v>
      </c>
      <c r="J235" cm="1">
        <f t="array" ref="J235" xml:space="preserve"> ValueAtRiskMC($U$138,A235,$S$140,$S$141,$S$142, $S$143)</f>
        <v>7980134.3066642601</v>
      </c>
    </row>
    <row r="236" spans="1:10" x14ac:dyDescent="0.25">
      <c r="A236">
        <v>90</v>
      </c>
      <c r="B236" cm="1">
        <f t="array" ref="B236" xml:space="preserve"> ValueAtRiskMC($C$138,A236,$C$140,$C$141,$C$142, $C$143)</f>
        <v>3624331.3708873531</v>
      </c>
      <c r="C236" cm="1">
        <f t="array" ref="C236" xml:space="preserve"> ValueAtRiskMC($D$138, A236,$C$140,$C$141,$C$142, $C$143)</f>
        <v>4119643.9196467721</v>
      </c>
      <c r="D236" cm="1">
        <f t="array" ref="D236" xml:space="preserve"> ValueAtRiskMC($E$138,A236,$C$140,$C$141,$C$142, $C$143)</f>
        <v>4181409.3806321332</v>
      </c>
      <c r="E236" cm="1">
        <f t="array" ref="E236" xml:space="preserve"> ValueAtRiskMC($L$138,A236,$L$140,$L$141,$L$142,$L$143)</f>
        <v>3360508.9965927079</v>
      </c>
      <c r="F236" cm="1">
        <f t="array" ref="F236" xml:space="preserve"> ValueAtRiskMC($M$138,A236,$L$140,$L$141,$L$142,$L$143)</f>
        <v>3809731.7059117388</v>
      </c>
      <c r="G236" cm="1">
        <f t="array" ref="G236" xml:space="preserve"> ValueAtRiskMC($N$138,A236,$L$140,$L$141,$L$142,$L$143)</f>
        <v>3920866.2301590769</v>
      </c>
      <c r="H236" s="10" cm="1">
        <f t="array" ref="H236" xml:space="preserve"> ValueAtRiskMC($S$138,A236,$S$140,$S$141,$S$142, $S$143)</f>
        <v>6709316.3588984925</v>
      </c>
      <c r="I236" cm="1">
        <f t="array" ref="I236" xml:space="preserve"> ValueAtRiskMC($T$138,A236,$S$140,$S$141,$S$142, $S$143)</f>
        <v>7551319.7285654079</v>
      </c>
      <c r="J236" cm="1">
        <f t="array" ref="J236" xml:space="preserve"> ValueAtRiskMC($U$138,A236,$S$140,$S$141,$S$142, $S$143)</f>
        <v>7743063.3583730413</v>
      </c>
    </row>
    <row r="237" spans="1:10" x14ac:dyDescent="0.25">
      <c r="A237">
        <v>91</v>
      </c>
      <c r="B237" cm="1">
        <f t="array" ref="B237" xml:space="preserve"> ValueAtRiskMC($C$138,A237,$C$140,$C$141,$C$142, $C$143)</f>
        <v>3656244.054550603</v>
      </c>
      <c r="C237" cm="1">
        <f t="array" ref="C237" xml:space="preserve"> ValueAtRiskMC($D$138, A237,$C$140,$C$141,$C$142, $C$143)</f>
        <v>4147029.4698378122</v>
      </c>
      <c r="D237" cm="1">
        <f t="array" ref="D237" xml:space="preserve"> ValueAtRiskMC($E$138,A237,$C$140,$C$141,$C$142, $C$143)</f>
        <v>4151432.3258639621</v>
      </c>
      <c r="E237" cm="1">
        <f t="array" ref="E237" xml:space="preserve"> ValueAtRiskMC($L$138,A237,$L$140,$L$141,$L$142,$L$143)</f>
        <v>3329560.1490288954</v>
      </c>
      <c r="F237" cm="1">
        <f t="array" ref="F237" xml:space="preserve"> ValueAtRiskMC($M$138,A237,$L$140,$L$141,$L$142,$L$143)</f>
        <v>3848016.0248960233</v>
      </c>
      <c r="G237" cm="1">
        <f t="array" ref="G237" xml:space="preserve"> ValueAtRiskMC($N$138,A237,$L$140,$L$141,$L$142,$L$143)</f>
        <v>3978608.4222404789</v>
      </c>
      <c r="H237" s="10" cm="1">
        <f t="array" ref="H237" xml:space="preserve"> ValueAtRiskMC($S$138,A237,$S$140,$S$141,$S$142, $S$143)</f>
        <v>6809149.9749552067</v>
      </c>
      <c r="I237" cm="1">
        <f t="array" ref="I237" xml:space="preserve"> ValueAtRiskMC($T$138,A237,$S$140,$S$141,$S$142, $S$143)</f>
        <v>7801780.1522630556</v>
      </c>
      <c r="J237" cm="1">
        <f t="array" ref="J237" xml:space="preserve"> ValueAtRiskMC($U$138,A237,$S$140,$S$141,$S$142, $S$143)</f>
        <v>8101749.0931794196</v>
      </c>
    </row>
    <row r="238" spans="1:10" x14ac:dyDescent="0.25">
      <c r="A238">
        <v>92</v>
      </c>
      <c r="B238" cm="1">
        <f t="array" ref="B238" xml:space="preserve"> ValueAtRiskMC($C$138,A238,$C$140,$C$141,$C$142, $C$143)</f>
        <v>3601414.7618246814</v>
      </c>
      <c r="C238" cm="1">
        <f t="array" ref="C238" xml:space="preserve"> ValueAtRiskMC($D$138, A238,$C$140,$C$141,$C$142, $C$143)</f>
        <v>4015965.1710811108</v>
      </c>
      <c r="D238" cm="1">
        <f t="array" ref="D238" xml:space="preserve"> ValueAtRiskMC($E$138,A238,$C$140,$C$141,$C$142, $C$143)</f>
        <v>4144373.2191791139</v>
      </c>
      <c r="E238" cm="1">
        <f t="array" ref="E238" xml:space="preserve"> ValueAtRiskMC($L$138,A238,$L$140,$L$141,$L$142,$L$143)</f>
        <v>3401737.6926400946</v>
      </c>
      <c r="F238" cm="1">
        <f t="array" ref="F238" xml:space="preserve"> ValueAtRiskMC($M$138,A238,$L$140,$L$141,$L$142,$L$143)</f>
        <v>3876766.4182510795</v>
      </c>
      <c r="G238" cm="1">
        <f t="array" ref="G238" xml:space="preserve"> ValueAtRiskMC($N$138,A238,$L$140,$L$141,$L$142,$L$143)</f>
        <v>4029497.1237361049</v>
      </c>
      <c r="H238" s="10" cm="1">
        <f t="array" ref="H238" xml:space="preserve"> ValueAtRiskMC($S$138,A238,$S$140,$S$141,$S$142, $S$143)</f>
        <v>6790030.0396906007</v>
      </c>
      <c r="I238" cm="1">
        <f t="array" ref="I238" xml:space="preserve"> ValueAtRiskMC($T$138,A238,$S$140,$S$141,$S$142, $S$143)</f>
        <v>7794863.8530915659</v>
      </c>
      <c r="J238" cm="1">
        <f t="array" ref="J238" xml:space="preserve"> ValueAtRiskMC($U$138,A238,$S$140,$S$141,$S$142, $S$143)</f>
        <v>8087133.7708823374</v>
      </c>
    </row>
    <row r="239" spans="1:10" x14ac:dyDescent="0.25">
      <c r="A239">
        <v>93</v>
      </c>
      <c r="B239" cm="1">
        <f t="array" ref="B239" xml:space="preserve"> ValueAtRiskMC($C$138,A239,$C$140,$C$141,$C$142, $C$143)</f>
        <v>3637503.3807265717</v>
      </c>
      <c r="C239" cm="1">
        <f t="array" ref="C239" xml:space="preserve"> ValueAtRiskMC($D$138, A239,$C$140,$C$141,$C$142, $C$143)</f>
        <v>4145220.2164941882</v>
      </c>
      <c r="D239" cm="1">
        <f t="array" ref="D239" xml:space="preserve"> ValueAtRiskMC($E$138,A239,$C$140,$C$141,$C$142, $C$143)</f>
        <v>4315912.0760767004</v>
      </c>
      <c r="E239" cm="1">
        <f t="array" ref="E239" xml:space="preserve"> ValueAtRiskMC($L$138,A239,$L$140,$L$141,$L$142,$L$143)</f>
        <v>3281678.4816210275</v>
      </c>
      <c r="F239" cm="1">
        <f t="array" ref="F239" xml:space="preserve"> ValueAtRiskMC($M$138,A239,$L$140,$L$141,$L$142,$L$143)</f>
        <v>3967988.9289700883</v>
      </c>
      <c r="G239" cm="1">
        <f t="array" ref="G239" xml:space="preserve"> ValueAtRiskMC($N$138,A239,$L$140,$L$141,$L$142,$L$143)</f>
        <v>4076570.7922352003</v>
      </c>
      <c r="H239" s="10" cm="1">
        <f t="array" ref="H239" xml:space="preserve"> ValueAtRiskMC($S$138,A239,$S$140,$S$141,$S$142, $S$143)</f>
        <v>6867827.2807841767</v>
      </c>
      <c r="I239" cm="1">
        <f t="array" ref="I239" xml:space="preserve"> ValueAtRiskMC($T$138,A239,$S$140,$S$141,$S$142, $S$143)</f>
        <v>8085996.558215417</v>
      </c>
      <c r="J239" cm="1">
        <f t="array" ref="J239" xml:space="preserve"> ValueAtRiskMC($U$138,A239,$S$140,$S$141,$S$142, $S$143)</f>
        <v>8421485.1369950157</v>
      </c>
    </row>
    <row r="240" spans="1:10" x14ac:dyDescent="0.25">
      <c r="A240">
        <v>94</v>
      </c>
      <c r="B240" cm="1">
        <f t="array" ref="B240" xml:space="preserve"> ValueAtRiskMC($C$138,A240,$C$140,$C$141,$C$142, $C$143)</f>
        <v>3590168.4979701387</v>
      </c>
      <c r="C240" cm="1">
        <f t="array" ref="C240" xml:space="preserve"> ValueAtRiskMC($D$138, A240,$C$140,$C$141,$C$142, $C$143)</f>
        <v>4189834.6190082901</v>
      </c>
      <c r="D240" cm="1">
        <f t="array" ref="D240" xml:space="preserve"> ValueAtRiskMC($E$138,A240,$C$140,$C$141,$C$142, $C$143)</f>
        <v>4282139.812191532</v>
      </c>
      <c r="E240" cm="1">
        <f t="array" ref="E240" xml:space="preserve"> ValueAtRiskMC($L$138,A240,$L$140,$L$141,$L$142,$L$143)</f>
        <v>3468717.9783855644</v>
      </c>
      <c r="F240" cm="1">
        <f t="array" ref="F240" xml:space="preserve"> ValueAtRiskMC($M$138,A240,$L$140,$L$141,$L$142,$L$143)</f>
        <v>3874370.3384354371</v>
      </c>
      <c r="G240" cm="1">
        <f t="array" ref="G240" xml:space="preserve"> ValueAtRiskMC($N$138,A240,$L$140,$L$141,$L$142,$L$143)</f>
        <v>4169248.4499989799</v>
      </c>
      <c r="H240" s="10" cm="1">
        <f t="array" ref="H240" xml:space="preserve"> ValueAtRiskMC($S$138,A240,$S$140,$S$141,$S$142, $S$143)</f>
        <v>6985360.2719362825</v>
      </c>
      <c r="I240" cm="1">
        <f t="array" ref="I240" xml:space="preserve"> ValueAtRiskMC($T$138,A240,$S$140,$S$141,$S$142, $S$143)</f>
        <v>7800044.0870755864</v>
      </c>
      <c r="J240" cm="1">
        <f t="array" ref="J240" xml:space="preserve"> ValueAtRiskMC($U$138,A240,$S$140,$S$141,$S$142, $S$143)</f>
        <v>8200774.966557269</v>
      </c>
    </row>
    <row r="241" spans="1:10" x14ac:dyDescent="0.25">
      <c r="A241">
        <v>95</v>
      </c>
      <c r="B241" cm="1">
        <f t="array" ref="B241" xml:space="preserve"> ValueAtRiskMC($C$138,A241,$C$140,$C$141,$C$142, $C$143)</f>
        <v>3725882.9436317962</v>
      </c>
      <c r="C241" cm="1">
        <f t="array" ref="C241" xml:space="preserve"> ValueAtRiskMC($D$138, A241,$C$140,$C$141,$C$142, $C$143)</f>
        <v>4298596.4332778202</v>
      </c>
      <c r="D241" cm="1">
        <f t="array" ref="D241" xml:space="preserve"> ValueAtRiskMC($E$138,A241,$C$140,$C$141,$C$142, $C$143)</f>
        <v>4248287.5000434704</v>
      </c>
      <c r="E241" cm="1">
        <f t="array" ref="E241" xml:space="preserve"> ValueAtRiskMC($L$138,A241,$L$140,$L$141,$L$142,$L$143)</f>
        <v>3410087.0410348051</v>
      </c>
      <c r="F241" cm="1">
        <f t="array" ref="F241" xml:space="preserve"> ValueAtRiskMC($M$138,A241,$L$140,$L$141,$L$142,$L$143)</f>
        <v>3967925.1606885479</v>
      </c>
      <c r="G241" cm="1">
        <f t="array" ref="G241" xml:space="preserve"> ValueAtRiskMC($N$138,A241,$L$140,$L$141,$L$142,$L$143)</f>
        <v>4062391.1135406871</v>
      </c>
      <c r="H241" s="10" cm="1">
        <f t="array" ref="H241" xml:space="preserve"> ValueAtRiskMC($S$138,A241,$S$140,$S$141,$S$142, $S$143)</f>
        <v>6994288.7671037363</v>
      </c>
      <c r="I241" cm="1">
        <f t="array" ref="I241" xml:space="preserve"> ValueAtRiskMC($T$138,A241,$S$140,$S$141,$S$142, $S$143)</f>
        <v>7756167.3717926564</v>
      </c>
      <c r="J241" cm="1">
        <f t="array" ref="J241" xml:space="preserve"> ValueAtRiskMC($U$138,A241,$S$140,$S$141,$S$142, $S$143)</f>
        <v>8184613.4443752179</v>
      </c>
    </row>
    <row r="242" spans="1:10" x14ac:dyDescent="0.25">
      <c r="A242">
        <v>96</v>
      </c>
      <c r="B242" cm="1">
        <f t="array" ref="B242" xml:space="preserve"> ValueAtRiskMC($C$138,A242,$C$140,$C$141,$C$142, $C$143)</f>
        <v>3659366.5586720253</v>
      </c>
      <c r="C242" cm="1">
        <f t="array" ref="C242" xml:space="preserve"> ValueAtRiskMC($D$138, A242,$C$140,$C$141,$C$142, $C$143)</f>
        <v>4258134.5138893938</v>
      </c>
      <c r="D242" cm="1">
        <f t="array" ref="D242" xml:space="preserve"> ValueAtRiskMC($E$138,A242,$C$140,$C$141,$C$142, $C$143)</f>
        <v>4228424.9720125226</v>
      </c>
      <c r="E242" cm="1">
        <f t="array" ref="E242" xml:space="preserve"> ValueAtRiskMC($L$138,A242,$L$140,$L$141,$L$142,$L$143)</f>
        <v>3469796.7379557011</v>
      </c>
      <c r="F242" cm="1">
        <f t="array" ref="F242" xml:space="preserve"> ValueAtRiskMC($M$138,A242,$L$140,$L$141,$L$142,$L$143)</f>
        <v>3997042.7051515575</v>
      </c>
      <c r="G242" cm="1">
        <f t="array" ref="G242" xml:space="preserve"> ValueAtRiskMC($N$138,A242,$L$140,$L$141,$L$142,$L$143)</f>
        <v>4164795.0427431334</v>
      </c>
      <c r="H242" s="10" cm="1">
        <f t="array" ref="H242" xml:space="preserve"> ValueAtRiskMC($S$138,A242,$S$140,$S$141,$S$142, $S$143)</f>
        <v>6716587.7712265374</v>
      </c>
      <c r="I242" cm="1">
        <f t="array" ref="I242" xml:space="preserve"> ValueAtRiskMC($T$138,A242,$S$140,$S$141,$S$142, $S$143)</f>
        <v>7976317.0132008493</v>
      </c>
      <c r="J242" cm="1">
        <f t="array" ref="J242" xml:space="preserve"> ValueAtRiskMC($U$138,A242,$S$140,$S$141,$S$142, $S$143)</f>
        <v>8177468.8803302366</v>
      </c>
    </row>
    <row r="243" spans="1:10" x14ac:dyDescent="0.25">
      <c r="A243">
        <v>97</v>
      </c>
      <c r="B243" cm="1">
        <f t="array" ref="B243" xml:space="preserve"> ValueAtRiskMC($C$138,A243,$C$140,$C$141,$C$142, $C$143)</f>
        <v>3715912.9413589411</v>
      </c>
      <c r="C243" cm="1">
        <f t="array" ref="C243" xml:space="preserve"> ValueAtRiskMC($D$138, A243,$C$140,$C$141,$C$142, $C$143)</f>
        <v>4142557.6298495573</v>
      </c>
      <c r="D243" cm="1">
        <f t="array" ref="D243" xml:space="preserve"> ValueAtRiskMC($E$138,A243,$C$140,$C$141,$C$142, $C$143)</f>
        <v>4256274.4348181719</v>
      </c>
      <c r="E243" cm="1">
        <f t="array" ref="E243" xml:space="preserve"> ValueAtRiskMC($L$138,A243,$L$140,$L$141,$L$142,$L$143)</f>
        <v>3626066.0297393142</v>
      </c>
      <c r="F243" cm="1">
        <f t="array" ref="F243" xml:space="preserve"> ValueAtRiskMC($M$138,A243,$L$140,$L$141,$L$142,$L$143)</f>
        <v>3996903.4078601408</v>
      </c>
      <c r="G243" cm="1">
        <f t="array" ref="G243" xml:space="preserve"> ValueAtRiskMC($N$138,A243,$L$140,$L$141,$L$142,$L$143)</f>
        <v>4064384.3734844998</v>
      </c>
      <c r="H243" s="10" cm="1">
        <f t="array" ref="H243" xml:space="preserve"> ValueAtRiskMC($S$138,A243,$S$140,$S$141,$S$142, $S$143)</f>
        <v>7149596.0738956537</v>
      </c>
      <c r="I243" cm="1">
        <f t="array" ref="I243" xml:space="preserve"> ValueAtRiskMC($T$138,A243,$S$140,$S$141,$S$142, $S$143)</f>
        <v>8215995.7089688331</v>
      </c>
      <c r="J243" cm="1">
        <f t="array" ref="J243" xml:space="preserve"> ValueAtRiskMC($U$138,A243,$S$140,$S$141,$S$142, $S$143)</f>
        <v>7953666.6170680057</v>
      </c>
    </row>
    <row r="244" spans="1:10" x14ac:dyDescent="0.25">
      <c r="A244">
        <v>98</v>
      </c>
      <c r="B244" cm="1">
        <f t="array" ref="B244" xml:space="preserve"> ValueAtRiskMC($C$138,A244,$C$140,$C$141,$C$142, $C$143)</f>
        <v>3701387.2101948229</v>
      </c>
      <c r="C244" cm="1">
        <f t="array" ref="C244" xml:space="preserve"> ValueAtRiskMC($D$138, A244,$C$140,$C$141,$C$142, $C$143)</f>
        <v>4186502.1243920485</v>
      </c>
      <c r="D244" cm="1">
        <f t="array" ref="D244" xml:space="preserve"> ValueAtRiskMC($E$138,A244,$C$140,$C$141,$C$142, $C$143)</f>
        <v>4370224.0889793234</v>
      </c>
      <c r="E244" cm="1">
        <f t="array" ref="E244" xml:space="preserve"> ValueAtRiskMC($L$138,A244,$L$140,$L$141,$L$142,$L$143)</f>
        <v>3542652.9802118139</v>
      </c>
      <c r="F244" cm="1">
        <f t="array" ref="F244" xml:space="preserve"> ValueAtRiskMC($M$138,A244,$L$140,$L$141,$L$142,$L$143)</f>
        <v>4026897.4880738631</v>
      </c>
      <c r="G244" cm="1">
        <f t="array" ref="G244" xml:space="preserve"> ValueAtRiskMC($N$138,A244,$L$140,$L$141,$L$142,$L$143)</f>
        <v>4147603.2634984269</v>
      </c>
      <c r="H244" s="10" cm="1">
        <f t="array" ref="H244" xml:space="preserve"> ValueAtRiskMC($S$138,A244,$S$140,$S$141,$S$142, $S$143)</f>
        <v>7245308.3529236335</v>
      </c>
      <c r="I244" cm="1">
        <f t="array" ref="I244" xml:space="preserve"> ValueAtRiskMC($T$138,A244,$S$140,$S$141,$S$142, $S$143)</f>
        <v>8055034.1466428908</v>
      </c>
      <c r="J244" cm="1">
        <f t="array" ref="J244" xml:space="preserve"> ValueAtRiskMC($U$138,A244,$S$140,$S$141,$S$142, $S$143)</f>
        <v>8424660.0804140922</v>
      </c>
    </row>
    <row r="245" spans="1:10" x14ac:dyDescent="0.25">
      <c r="A245">
        <v>99</v>
      </c>
      <c r="B245" cm="1">
        <f t="array" ref="B245" xml:space="preserve"> ValueAtRiskMC($C$138,A245,$C$140,$C$141,$C$142, $C$143)</f>
        <v>3875317.7998230457</v>
      </c>
      <c r="C245" cm="1">
        <f t="array" ref="C245" xml:space="preserve"> ValueAtRiskMC($D$138, A245,$C$140,$C$141,$C$142, $C$143)</f>
        <v>4119523.5137705123</v>
      </c>
      <c r="D245" cm="1">
        <f t="array" ref="D245" xml:space="preserve"> ValueAtRiskMC($E$138,A245,$C$140,$C$141,$C$142, $C$143)</f>
        <v>4312765.5540343374</v>
      </c>
      <c r="E245" cm="1">
        <f t="array" ref="E245" xml:space="preserve"> ValueAtRiskMC($L$138,A245,$L$140,$L$141,$L$142,$L$143)</f>
        <v>3505751.4805231392</v>
      </c>
      <c r="F245" cm="1">
        <f t="array" ref="F245" xml:space="preserve"> ValueAtRiskMC($M$138,A245,$L$140,$L$141,$L$142,$L$143)</f>
        <v>4090791.0810715524</v>
      </c>
      <c r="G245" cm="1">
        <f t="array" ref="G245" xml:space="preserve"> ValueAtRiskMC($N$138,A245,$L$140,$L$141,$L$142,$L$143)</f>
        <v>4209516.4249412129</v>
      </c>
      <c r="H245" s="10" cm="1">
        <f t="array" ref="H245" xml:space="preserve"> ValueAtRiskMC($S$138,A245,$S$140,$S$141,$S$142, $S$143)</f>
        <v>7072114.0848471168</v>
      </c>
      <c r="I245" cm="1">
        <f t="array" ref="I245" xml:space="preserve"> ValueAtRiskMC($T$138,A245,$S$140,$S$141,$S$142, $S$143)</f>
        <v>8086033.2066941252</v>
      </c>
      <c r="J245" cm="1">
        <f t="array" ref="J245" xml:space="preserve"> ValueAtRiskMC($U$138,A245,$S$140,$S$141,$S$142, $S$143)</f>
        <v>8419699.9381941706</v>
      </c>
    </row>
    <row r="246" spans="1:10" x14ac:dyDescent="0.25">
      <c r="A246">
        <v>100</v>
      </c>
      <c r="B246" cm="1">
        <f t="array" ref="B246" xml:space="preserve"> ValueAtRiskMC($C$138,A246,$C$140,$C$141,$C$142, $C$143)</f>
        <v>3881462.656515344</v>
      </c>
      <c r="C246" cm="1">
        <f t="array" ref="C246" xml:space="preserve"> ValueAtRiskMC($D$138, A246,$C$140,$C$141,$C$142, $C$143)</f>
        <v>4184070.6440610429</v>
      </c>
      <c r="D246" cm="1">
        <f t="array" ref="D246" xml:space="preserve"> ValueAtRiskMC($E$138,A246,$C$140,$C$141,$C$142, $C$143)</f>
        <v>4397047.9752650131</v>
      </c>
      <c r="E246" cm="1">
        <f t="array" ref="E246" xml:space="preserve"> ValueAtRiskMC($L$138,A246,$L$140,$L$141,$L$142,$L$143)</f>
        <v>3574150.5501908017</v>
      </c>
      <c r="F246" cm="1">
        <f t="array" ref="F246" xml:space="preserve"> ValueAtRiskMC($M$138,A246,$L$140,$L$141,$L$142,$L$143)</f>
        <v>4057081.452733052</v>
      </c>
      <c r="G246" cm="1">
        <f t="array" ref="G246" xml:space="preserve"> ValueAtRiskMC($N$138,A246,$L$140,$L$141,$L$142,$L$143)</f>
        <v>4155362.4290528875</v>
      </c>
      <c r="H246" s="10" cm="1">
        <f t="array" ref="H246" xml:space="preserve"> ValueAtRiskMC($S$138,A246,$S$140,$S$141,$S$142, $S$143)</f>
        <v>7062075.4800435267</v>
      </c>
      <c r="I246" cm="1">
        <f t="array" ref="I246" xml:space="preserve"> ValueAtRiskMC($T$138,A246,$S$140,$S$141,$S$142, $S$143)</f>
        <v>7943310.5001546917</v>
      </c>
      <c r="J246" cm="1">
        <f t="array" ref="J246" xml:space="preserve"> ValueAtRiskMC($U$138,A246,$S$140,$S$141,$S$142, $S$143)</f>
        <v>8444221.3888455182</v>
      </c>
    </row>
  </sheetData>
  <mergeCells count="11">
    <mergeCell ref="CQ3:CY3"/>
    <mergeCell ref="Z3:AC3"/>
    <mergeCell ref="V3:X3"/>
    <mergeCell ref="CB3:CN3"/>
    <mergeCell ref="A132:U132"/>
    <mergeCell ref="AE3:AH3"/>
    <mergeCell ref="AJ3:AM3"/>
    <mergeCell ref="AO3:AR3"/>
    <mergeCell ref="BG4:BJ4"/>
    <mergeCell ref="BL4:BO4"/>
    <mergeCell ref="BQ4:BT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C278A-AB3A-4861-96A2-C351B99F19CD}">
  <sheetPr codeName="Sheet1"/>
  <dimension ref="A1:AT125"/>
  <sheetViews>
    <sheetView topLeftCell="AF1" zoomScale="60" zoomScaleNormal="85" workbookViewId="0">
      <selection activeCell="BF16" sqref="BF16"/>
    </sheetView>
  </sheetViews>
  <sheetFormatPr defaultRowHeight="15" x14ac:dyDescent="0.25"/>
  <cols>
    <col min="1" max="1" width="13.140625" customWidth="1"/>
    <col min="2" max="2" width="9.140625" customWidth="1"/>
  </cols>
  <sheetData>
    <row r="1" spans="1:46" x14ac:dyDescent="0.25">
      <c r="A1" s="7" t="s">
        <v>0</v>
      </c>
      <c r="B1" t="s">
        <v>92</v>
      </c>
      <c r="C1" t="s">
        <v>93</v>
      </c>
      <c r="D1" t="s">
        <v>94</v>
      </c>
    </row>
    <row r="2" spans="1:46" x14ac:dyDescent="0.25">
      <c r="A2" s="8">
        <v>44502</v>
      </c>
      <c r="B2">
        <v>3.4106090875402742E-2</v>
      </c>
      <c r="C2">
        <v>1.7621518335825613E-2</v>
      </c>
      <c r="D2">
        <v>2.586380460561416E-2</v>
      </c>
    </row>
    <row r="3" spans="1:46" x14ac:dyDescent="0.25">
      <c r="A3" s="9">
        <v>44503</v>
      </c>
      <c r="B3">
        <v>-8.0156890912022778E-3</v>
      </c>
      <c r="C3">
        <v>-1.5986449205954489E-2</v>
      </c>
      <c r="D3">
        <v>-1.1969048676485135E-2</v>
      </c>
      <c r="S3" t="s">
        <v>102</v>
      </c>
      <c r="T3" t="s">
        <v>103</v>
      </c>
      <c r="U3" t="s">
        <v>104</v>
      </c>
      <c r="V3" t="s">
        <v>105</v>
      </c>
      <c r="W3" t="s">
        <v>106</v>
      </c>
      <c r="X3" t="s">
        <v>107</v>
      </c>
      <c r="Y3" t="s">
        <v>108</v>
      </c>
      <c r="Z3" t="s">
        <v>109</v>
      </c>
      <c r="AA3" t="s">
        <v>110</v>
      </c>
      <c r="AL3" t="s">
        <v>102</v>
      </c>
      <c r="AM3" t="s">
        <v>103</v>
      </c>
      <c r="AN3" t="s">
        <v>104</v>
      </c>
      <c r="AO3" t="s">
        <v>105</v>
      </c>
      <c r="AP3" t="s">
        <v>106</v>
      </c>
      <c r="AQ3" t="s">
        <v>107</v>
      </c>
      <c r="AR3" t="s">
        <v>108</v>
      </c>
      <c r="AS3" t="s">
        <v>109</v>
      </c>
      <c r="AT3" t="s">
        <v>110</v>
      </c>
    </row>
    <row r="4" spans="1:46" x14ac:dyDescent="0.25">
      <c r="A4" s="8">
        <v>44504</v>
      </c>
      <c r="B4">
        <v>-4.3348301656713668E-3</v>
      </c>
      <c r="C4">
        <v>-6.1099616385859633E-3</v>
      </c>
      <c r="D4">
        <v>-5.211684862948489E-3</v>
      </c>
      <c r="R4">
        <v>1</v>
      </c>
      <c r="S4">
        <v>44272.968199183175</v>
      </c>
      <c r="T4">
        <v>58277.682629537034</v>
      </c>
      <c r="U4">
        <v>63247.097427404529</v>
      </c>
      <c r="V4">
        <v>39737.413706589767</v>
      </c>
      <c r="W4">
        <v>52307.411919898783</v>
      </c>
      <c r="X4">
        <v>56767.73386655681</v>
      </c>
      <c r="Y4">
        <v>80820.660803933133</v>
      </c>
      <c r="Z4">
        <v>106386.38003783036</v>
      </c>
      <c r="AA4">
        <v>115458.08686276161</v>
      </c>
      <c r="AK4">
        <v>1</v>
      </c>
      <c r="AL4">
        <v>7267.6321766280953</v>
      </c>
      <c r="AM4">
        <v>9566.577048826779</v>
      </c>
      <c r="AN4">
        <v>10382.33168089728</v>
      </c>
      <c r="AO4">
        <v>5092.458099910923</v>
      </c>
      <c r="AP4">
        <v>6703.3377029439698</v>
      </c>
      <c r="AQ4">
        <v>7274.940142729889</v>
      </c>
      <c r="AR4">
        <v>11502.386587720684</v>
      </c>
      <c r="AS4">
        <v>15140.896630775187</v>
      </c>
      <c r="AT4">
        <v>16431.980839600976</v>
      </c>
    </row>
    <row r="5" spans="1:46" x14ac:dyDescent="0.25">
      <c r="A5" s="9">
        <v>44505</v>
      </c>
      <c r="B5">
        <v>2.5445954641593081E-2</v>
      </c>
      <c r="C5">
        <v>-8.9521037126292467E-3</v>
      </c>
      <c r="D5">
        <v>8.4698243396225965E-3</v>
      </c>
      <c r="R5">
        <v>2</v>
      </c>
      <c r="S5">
        <v>62611.432073797587</v>
      </c>
      <c r="T5">
        <v>82417.089158366216</v>
      </c>
      <c r="U5">
        <v>89444.902962567983</v>
      </c>
      <c r="V5">
        <v>56197.189397489776</v>
      </c>
      <c r="W5">
        <v>73973.851349756951</v>
      </c>
      <c r="X5">
        <v>80281.699139271106</v>
      </c>
      <c r="Y5">
        <v>114297.67462887785</v>
      </c>
      <c r="Z5">
        <v>150453.06150127802</v>
      </c>
      <c r="AA5">
        <v>163282.39232696837</v>
      </c>
      <c r="AK5">
        <v>2</v>
      </c>
      <c r="AL5">
        <v>10277.983990526551</v>
      </c>
      <c r="AM5">
        <v>13529.183007938012</v>
      </c>
      <c r="AN5">
        <v>14682.834272180788</v>
      </c>
      <c r="AO5">
        <v>7201.8233107107499</v>
      </c>
      <c r="AP5">
        <v>9479.9510926702733</v>
      </c>
      <c r="AQ5">
        <v>10288.319015301071</v>
      </c>
      <c r="AR5">
        <v>16266.83111201298</v>
      </c>
      <c r="AS5">
        <v>21412.461361731373</v>
      </c>
      <c r="AT5">
        <v>23238.33016001854</v>
      </c>
    </row>
    <row r="6" spans="1:46" x14ac:dyDescent="0.25">
      <c r="A6" s="8">
        <v>44508</v>
      </c>
      <c r="B6">
        <v>-1.9373503230663627E-2</v>
      </c>
      <c r="C6">
        <v>-1.6465083652191431E-2</v>
      </c>
      <c r="D6">
        <v>-1.7962936725814865E-2</v>
      </c>
      <c r="R6">
        <v>3</v>
      </c>
      <c r="S6">
        <v>76683.030322866427</v>
      </c>
      <c r="T6">
        <v>100939.90726173234</v>
      </c>
      <c r="U6">
        <v>109547.18617552347</v>
      </c>
      <c r="V6">
        <v>68827.219501197382</v>
      </c>
      <c r="W6">
        <v>90599.095057698592</v>
      </c>
      <c r="X6">
        <v>98324.599287424819</v>
      </c>
      <c r="Y6">
        <v>139985.49081370267</v>
      </c>
      <c r="Z6">
        <v>184266.61545885351</v>
      </c>
      <c r="AA6">
        <v>199979.2725910038</v>
      </c>
      <c r="AK6">
        <v>3</v>
      </c>
      <c r="AL6">
        <v>12587.908180642251</v>
      </c>
      <c r="AM6">
        <v>16569.797503090311</v>
      </c>
      <c r="AN6">
        <v>17982.72597234607</v>
      </c>
      <c r="AO6">
        <v>8820.3961644613846</v>
      </c>
      <c r="AP6">
        <v>11610.521481791005</v>
      </c>
      <c r="AQ6">
        <v>12600.565949230548</v>
      </c>
      <c r="AR6">
        <v>19922.71797823103</v>
      </c>
      <c r="AS6">
        <v>26224.802236651052</v>
      </c>
      <c r="AT6">
        <v>28461.025683187188</v>
      </c>
    </row>
    <row r="7" spans="1:46" x14ac:dyDescent="0.25">
      <c r="A7" s="9">
        <v>44509</v>
      </c>
      <c r="B7">
        <v>1.5636826792017475E-2</v>
      </c>
      <c r="C7">
        <v>1.6944188337811198E-2</v>
      </c>
      <c r="D7">
        <v>1.6271856609071E-2</v>
      </c>
      <c r="R7">
        <v>4</v>
      </c>
      <c r="S7">
        <v>88545.93639836635</v>
      </c>
      <c r="T7">
        <v>116555.36525907407</v>
      </c>
      <c r="U7">
        <v>126494.19485480906</v>
      </c>
      <c r="V7">
        <v>79474.827413179533</v>
      </c>
      <c r="W7">
        <v>104614.82383979757</v>
      </c>
      <c r="X7">
        <v>113535.46773311362</v>
      </c>
      <c r="Y7">
        <v>161641.32160786627</v>
      </c>
      <c r="Z7">
        <v>212772.76007566071</v>
      </c>
      <c r="AA7">
        <v>230916.17372552323</v>
      </c>
      <c r="AK7">
        <v>4</v>
      </c>
      <c r="AL7">
        <v>14535.264353256191</v>
      </c>
      <c r="AM7">
        <v>19133.154097653558</v>
      </c>
      <c r="AN7">
        <v>20764.663361794559</v>
      </c>
      <c r="AO7">
        <v>10184.916199821846</v>
      </c>
      <c r="AP7">
        <v>13406.67540588794</v>
      </c>
      <c r="AQ7">
        <v>14549.880285459778</v>
      </c>
      <c r="AR7">
        <v>23004.773175441369</v>
      </c>
      <c r="AS7">
        <v>30281.793261550374</v>
      </c>
      <c r="AT7">
        <v>32863.961679201951</v>
      </c>
    </row>
    <row r="8" spans="1:46" x14ac:dyDescent="0.25">
      <c r="A8" s="8">
        <v>44510</v>
      </c>
      <c r="B8">
        <v>-9.2293520658337895E-3</v>
      </c>
      <c r="C8">
        <v>3.5439297549688239E-3</v>
      </c>
      <c r="D8">
        <v>-3.0208314872953303E-3</v>
      </c>
      <c r="R8">
        <v>5</v>
      </c>
      <c r="S8">
        <v>98997.366459060024</v>
      </c>
      <c r="T8">
        <v>130312.8599308035</v>
      </c>
      <c r="U8">
        <v>141424.8092272286</v>
      </c>
      <c r="V8">
        <v>88855.558297966607</v>
      </c>
      <c r="W8">
        <v>116962.92877997646</v>
      </c>
      <c r="X8">
        <v>126936.51185423801</v>
      </c>
      <c r="Y8">
        <v>180720.49154404731</v>
      </c>
      <c r="Z8">
        <v>237887.17764471535</v>
      </c>
      <c r="AA8">
        <v>258172.13077721043</v>
      </c>
      <c r="AK8">
        <v>5</v>
      </c>
      <c r="AL8">
        <v>16250.919582405182</v>
      </c>
      <c r="AM8">
        <v>21391.516593166005</v>
      </c>
      <c r="AN8">
        <v>23215.599403435972</v>
      </c>
      <c r="AO8">
        <v>11387.08248397024</v>
      </c>
      <c r="AP8">
        <v>14989.118779920011</v>
      </c>
      <c r="AQ8">
        <v>16267.260691386056</v>
      </c>
      <c r="AR8">
        <v>25720.118313625298</v>
      </c>
      <c r="AS8">
        <v>33856.074106710854</v>
      </c>
      <c r="AT8">
        <v>36743.026162321854</v>
      </c>
    </row>
    <row r="9" spans="1:46" x14ac:dyDescent="0.25">
      <c r="A9" s="9">
        <v>44511</v>
      </c>
      <c r="B9">
        <v>-3.3042328556089719E-2</v>
      </c>
      <c r="C9">
        <v>-2.2327352808252345E-2</v>
      </c>
      <c r="D9">
        <v>-2.7799965101398167E-2</v>
      </c>
      <c r="R9">
        <v>6</v>
      </c>
      <c r="S9">
        <v>108446.18148646501</v>
      </c>
      <c r="T9">
        <v>142750.58583422436</v>
      </c>
      <c r="U9">
        <v>154923.11640923572</v>
      </c>
      <c r="V9">
        <v>97336.3872790233</v>
      </c>
      <c r="W9">
        <v>128126.4689693266</v>
      </c>
      <c r="X9">
        <v>139051.98182717615</v>
      </c>
      <c r="Y9">
        <v>197969.37964419261</v>
      </c>
      <c r="Z9">
        <v>260592.34667449846</v>
      </c>
      <c r="AA9">
        <v>282813.39949170372</v>
      </c>
      <c r="AK9">
        <v>6</v>
      </c>
      <c r="AL9">
        <v>17801.990470971501</v>
      </c>
      <c r="AM9">
        <v>23433.232354646159</v>
      </c>
      <c r="AN9">
        <v>25431.414958530713</v>
      </c>
      <c r="AO9">
        <v>12473.923881284918</v>
      </c>
      <c r="AP9">
        <v>16419.756945773006</v>
      </c>
      <c r="AQ9">
        <v>17819.891258978452</v>
      </c>
      <c r="AR9">
        <v>28174.977964148613</v>
      </c>
      <c r="AS9">
        <v>37087.470993624192</v>
      </c>
      <c r="AT9">
        <v>40249.9685202123</v>
      </c>
    </row>
    <row r="10" spans="1:46" x14ac:dyDescent="0.25">
      <c r="A10" s="8">
        <v>44512</v>
      </c>
      <c r="B10">
        <v>8.2123765891200365E-2</v>
      </c>
      <c r="C10">
        <v>4.3547953750583922E-2</v>
      </c>
      <c r="D10">
        <v>6.3144087648908567E-2</v>
      </c>
      <c r="R10">
        <v>7</v>
      </c>
      <c r="S10">
        <v>117135.26365770982</v>
      </c>
      <c r="T10">
        <v>154188.25522290374</v>
      </c>
      <c r="U10">
        <v>167336.09093958544</v>
      </c>
      <c r="V10">
        <v>105135.31441252591</v>
      </c>
      <c r="W10">
        <v>138392.40366546781</v>
      </c>
      <c r="X10">
        <v>150193.30630360843</v>
      </c>
      <c r="Y10">
        <v>213831.36928311264</v>
      </c>
      <c r="Z10">
        <v>281471.90446450544</v>
      </c>
      <c r="AA10">
        <v>305473.38469016092</v>
      </c>
      <c r="AK10">
        <v>7</v>
      </c>
      <c r="AL10">
        <v>19228.347359648989</v>
      </c>
      <c r="AM10">
        <v>25310.783769333873</v>
      </c>
      <c r="AN10">
        <v>27469.067656641411</v>
      </c>
      <c r="AO10">
        <v>13473.377694380819</v>
      </c>
      <c r="AP10">
        <v>17735.36451607271</v>
      </c>
      <c r="AQ10">
        <v>19247.682420544024</v>
      </c>
      <c r="AR10">
        <v>30432.454394833763</v>
      </c>
      <c r="AS10">
        <v>40059.047111566892</v>
      </c>
      <c r="AT10">
        <v>43474.934849762518</v>
      </c>
    </row>
    <row r="11" spans="1:46" x14ac:dyDescent="0.25">
      <c r="A11" s="9">
        <v>44515</v>
      </c>
      <c r="B11">
        <v>4.5111181182658057E-3</v>
      </c>
      <c r="C11">
        <v>1.1612013956734165E-2</v>
      </c>
      <c r="D11">
        <v>7.9404316424635021E-3</v>
      </c>
      <c r="R11">
        <v>8</v>
      </c>
      <c r="S11">
        <v>125222.86414759517</v>
      </c>
      <c r="T11">
        <v>164834.17831673243</v>
      </c>
      <c r="U11">
        <v>178889.80592513597</v>
      </c>
      <c r="V11">
        <v>112394.37879497955</v>
      </c>
      <c r="W11">
        <v>147947.7026995139</v>
      </c>
      <c r="X11">
        <v>160563.39827854221</v>
      </c>
      <c r="Y11">
        <v>228595.3492577557</v>
      </c>
      <c r="Z11">
        <v>300906.12300255604</v>
      </c>
      <c r="AA11">
        <v>326564.78465393675</v>
      </c>
      <c r="AK11">
        <v>8</v>
      </c>
      <c r="AL11">
        <v>20555.967981053102</v>
      </c>
      <c r="AM11">
        <v>27058.366015876025</v>
      </c>
      <c r="AN11">
        <v>29365.668544361575</v>
      </c>
      <c r="AO11">
        <v>14403.6466214215</v>
      </c>
      <c r="AP11">
        <v>18959.902185340547</v>
      </c>
      <c r="AQ11">
        <v>20576.638030602142</v>
      </c>
      <c r="AR11">
        <v>32533.66222402596</v>
      </c>
      <c r="AS11">
        <v>42824.922723462747</v>
      </c>
      <c r="AT11">
        <v>46476.660320037081</v>
      </c>
    </row>
    <row r="12" spans="1:46" x14ac:dyDescent="0.25">
      <c r="A12" s="8">
        <v>44516</v>
      </c>
      <c r="B12">
        <v>-2.7461998797035182E-2</v>
      </c>
      <c r="C12">
        <v>1.6335043002841616E-2</v>
      </c>
      <c r="D12">
        <v>-6.2335656807961963E-3</v>
      </c>
      <c r="R12">
        <v>9</v>
      </c>
      <c r="S12">
        <v>132818.90459754952</v>
      </c>
      <c r="T12">
        <v>174833.04788861109</v>
      </c>
      <c r="U12">
        <v>189741.29228221357</v>
      </c>
      <c r="V12">
        <v>119212.24111976931</v>
      </c>
      <c r="W12">
        <v>156922.23575969634</v>
      </c>
      <c r="X12">
        <v>170303.20159967043</v>
      </c>
      <c r="Y12">
        <v>242461.9824117994</v>
      </c>
      <c r="Z12">
        <v>319159.1401134911</v>
      </c>
      <c r="AA12">
        <v>346374.26058828487</v>
      </c>
      <c r="AK12">
        <v>9</v>
      </c>
      <c r="AL12">
        <v>21802.896529884289</v>
      </c>
      <c r="AM12">
        <v>28699.731146480339</v>
      </c>
      <c r="AN12">
        <v>31146.995042691837</v>
      </c>
      <c r="AO12">
        <v>15277.374299732768</v>
      </c>
      <c r="AP12">
        <v>20110.01310883191</v>
      </c>
      <c r="AQ12">
        <v>21824.820428189669</v>
      </c>
      <c r="AR12">
        <v>34507.159763162053</v>
      </c>
      <c r="AS12">
        <v>45422.689892325558</v>
      </c>
      <c r="AT12">
        <v>49295.942518802927</v>
      </c>
    </row>
    <row r="13" spans="1:46" x14ac:dyDescent="0.25">
      <c r="A13" s="9">
        <v>44517</v>
      </c>
      <c r="B13">
        <v>2.8114865772530601E-2</v>
      </c>
      <c r="C13">
        <v>-2.1258076388985445E-2</v>
      </c>
      <c r="D13">
        <v>3.6403140346339827E-3</v>
      </c>
      <c r="R13">
        <v>10</v>
      </c>
      <c r="S13">
        <v>140003.41828562206</v>
      </c>
      <c r="T13">
        <v>184290.21386576782</v>
      </c>
      <c r="U13">
        <v>200004.88326517434</v>
      </c>
      <c r="V13">
        <v>125660.73563721759</v>
      </c>
      <c r="W13">
        <v>165410.56017552112</v>
      </c>
      <c r="X13">
        <v>179515.33662459653</v>
      </c>
      <c r="Y13">
        <v>255577.37014032394</v>
      </c>
      <c r="Z13">
        <v>336423.2729398142</v>
      </c>
      <c r="AA13">
        <v>365110.52877189132</v>
      </c>
      <c r="AK13">
        <v>10</v>
      </c>
      <c r="AL13">
        <v>22982.27087447192</v>
      </c>
      <c r="AM13">
        <v>30252.172885784472</v>
      </c>
      <c r="AN13">
        <v>32831.815534959889</v>
      </c>
      <c r="AO13">
        <v>16103.766484691823</v>
      </c>
      <c r="AP13">
        <v>21197.815066584135</v>
      </c>
      <c r="AQ13">
        <v>23005.380692416889</v>
      </c>
      <c r="AR13">
        <v>36373.740144969517</v>
      </c>
      <c r="AS13">
        <v>47879.719170419063</v>
      </c>
      <c r="AT13">
        <v>51962.485921385021</v>
      </c>
    </row>
    <row r="14" spans="1:46" x14ac:dyDescent="0.25">
      <c r="A14" s="8">
        <v>44518</v>
      </c>
      <c r="B14">
        <v>1.29973570173275E-2</v>
      </c>
      <c r="C14">
        <v>1.2482662968099861E-2</v>
      </c>
      <c r="D14">
        <v>1.2748548651273617E-2</v>
      </c>
      <c r="R14">
        <v>11</v>
      </c>
      <c r="S14">
        <v>146836.82387202716</v>
      </c>
      <c r="T14">
        <v>193285.2069335868</v>
      </c>
      <c r="U14">
        <v>209766.8912457531</v>
      </c>
      <c r="V14">
        <v>131794.09140388409</v>
      </c>
      <c r="W14">
        <v>173484.05909286783</v>
      </c>
      <c r="X14">
        <v>188277.27343412011</v>
      </c>
      <c r="Y14">
        <v>268051.80719522963</v>
      </c>
      <c r="Z14">
        <v>352843.70538963896</v>
      </c>
      <c r="AA14">
        <v>382931.1531360423</v>
      </c>
      <c r="AK14">
        <v>11</v>
      </c>
      <c r="AL14">
        <v>24104.009044189315</v>
      </c>
      <c r="AM14">
        <v>31728.746598983893</v>
      </c>
      <c r="AN14">
        <v>34434.298634556159</v>
      </c>
      <c r="AO14">
        <v>16889.77277801072</v>
      </c>
      <c r="AP14">
        <v>22232.45600370799</v>
      </c>
      <c r="AQ14">
        <v>24128.246825729599</v>
      </c>
      <c r="AR14">
        <v>38149.10050508588</v>
      </c>
      <c r="AS14">
        <v>50216.673113837533</v>
      </c>
      <c r="AT14">
        <v>54498.715007265535</v>
      </c>
    </row>
    <row r="15" spans="1:46" x14ac:dyDescent="0.25">
      <c r="A15" s="9">
        <v>44519</v>
      </c>
      <c r="B15">
        <v>-1.4910342874871574E-3</v>
      </c>
      <c r="C15">
        <v>-2.6246539726027442E-2</v>
      </c>
      <c r="D15">
        <v>-1.3454956919721404E-2</v>
      </c>
      <c r="R15">
        <v>12</v>
      </c>
      <c r="S15">
        <v>153366.06064573285</v>
      </c>
      <c r="T15">
        <v>201879.81452346468</v>
      </c>
      <c r="U15">
        <v>219094.37235104694</v>
      </c>
      <c r="V15">
        <v>137654.43900239476</v>
      </c>
      <c r="W15">
        <v>181198.19011539718</v>
      </c>
      <c r="X15">
        <v>196649.19857484964</v>
      </c>
      <c r="Y15">
        <v>279970.98162740533</v>
      </c>
      <c r="Z15">
        <v>368533.23091770703</v>
      </c>
      <c r="AA15">
        <v>399958.5451820076</v>
      </c>
      <c r="AK15">
        <v>12</v>
      </c>
      <c r="AL15">
        <v>25175.816361284502</v>
      </c>
      <c r="AM15">
        <v>33139.595006180622</v>
      </c>
      <c r="AN15">
        <v>35965.45194469214</v>
      </c>
      <c r="AO15">
        <v>17640.792328922769</v>
      </c>
      <c r="AP15">
        <v>23221.042963582011</v>
      </c>
      <c r="AQ15">
        <v>25201.131898461095</v>
      </c>
      <c r="AR15">
        <v>39845.435956462061</v>
      </c>
      <c r="AS15">
        <v>52449.604473302104</v>
      </c>
      <c r="AT15">
        <v>56922.051366374377</v>
      </c>
    </row>
    <row r="16" spans="1:46" x14ac:dyDescent="0.25">
      <c r="A16" s="8">
        <v>44522</v>
      </c>
      <c r="B16">
        <v>5.2106233135904234E-2</v>
      </c>
      <c r="C16">
        <v>2.7319767162351662E-2</v>
      </c>
      <c r="D16">
        <v>4.02826665041379E-2</v>
      </c>
      <c r="R16">
        <v>13</v>
      </c>
      <c r="S16">
        <v>159628.45695914151</v>
      </c>
      <c r="T16">
        <v>210123.17293601282</v>
      </c>
      <c r="U16">
        <v>228040.65279877358</v>
      </c>
      <c r="V16">
        <v>143275.28267343494</v>
      </c>
      <c r="W16">
        <v>188597.05576401131</v>
      </c>
      <c r="X16">
        <v>204678.9752477642</v>
      </c>
      <c r="Y16">
        <v>291403.03664546355</v>
      </c>
      <c r="Z16">
        <v>383581.54823739588</v>
      </c>
      <c r="AA16">
        <v>416290.05235066218</v>
      </c>
      <c r="AK16">
        <v>13</v>
      </c>
      <c r="AL16">
        <v>26203.820464044558</v>
      </c>
      <c r="AM16">
        <v>34492.784080221922</v>
      </c>
      <c r="AN16">
        <v>37434.029234349371</v>
      </c>
      <c r="AO16">
        <v>18361.11879738075</v>
      </c>
      <c r="AP16">
        <v>24169.227804715476</v>
      </c>
      <c r="AQ16">
        <v>26230.169710543927</v>
      </c>
      <c r="AR16">
        <v>41472.444632236191</v>
      </c>
      <c r="AS16">
        <v>54591.279158759884</v>
      </c>
      <c r="AT16">
        <v>59246.349474623123</v>
      </c>
    </row>
    <row r="17" spans="1:46" x14ac:dyDescent="0.25">
      <c r="A17" s="9">
        <v>44523</v>
      </c>
      <c r="B17">
        <v>-2.4725462191882357E-2</v>
      </c>
      <c r="C17">
        <v>-3.144088637689469E-2</v>
      </c>
      <c r="D17">
        <v>-2.7888916937531448E-2</v>
      </c>
      <c r="R17">
        <v>14</v>
      </c>
      <c r="S17">
        <v>165654.27849688151</v>
      </c>
      <c r="T17">
        <v>218055.12169487463</v>
      </c>
      <c r="U17">
        <v>236648.96928125928</v>
      </c>
      <c r="V17">
        <v>148683.78752655367</v>
      </c>
      <c r="W17">
        <v>195716.41419311657</v>
      </c>
      <c r="X17">
        <v>212405.41075221953</v>
      </c>
      <c r="Y17">
        <v>302403.22250098758</v>
      </c>
      <c r="Z17">
        <v>398061.38472068775</v>
      </c>
      <c r="AA17">
        <v>432004.60357283935</v>
      </c>
      <c r="AK17">
        <v>14</v>
      </c>
      <c r="AL17">
        <v>27192.989618036492</v>
      </c>
      <c r="AM17">
        <v>35794.853680884771</v>
      </c>
      <c r="AN17">
        <v>38847.128025766411</v>
      </c>
      <c r="AO17">
        <v>19054.233466368492</v>
      </c>
      <c r="AP17">
        <v>25081.593032260567</v>
      </c>
      <c r="AQ17">
        <v>27220.333523383561</v>
      </c>
      <c r="AR17">
        <v>43037.989741474601</v>
      </c>
      <c r="AS17">
        <v>56652.047720920651</v>
      </c>
      <c r="AT17">
        <v>61482.842487820861</v>
      </c>
    </row>
    <row r="18" spans="1:46" x14ac:dyDescent="0.25">
      <c r="A18" s="8">
        <v>44524</v>
      </c>
      <c r="B18">
        <v>-4.0670937512847366E-2</v>
      </c>
      <c r="C18">
        <v>-1.0264400004485743E-2</v>
      </c>
      <c r="D18">
        <v>-2.639957685553217E-2</v>
      </c>
      <c r="R18">
        <v>15</v>
      </c>
      <c r="S18">
        <v>171468.468522607</v>
      </c>
      <c r="T18">
        <v>225708.49427975822</v>
      </c>
      <c r="U18">
        <v>244954.95503229572</v>
      </c>
      <c r="V18">
        <v>153902.34150697655</v>
      </c>
      <c r="W18">
        <v>202585.73524897933</v>
      </c>
      <c r="X18">
        <v>219860.48786710933</v>
      </c>
      <c r="Y18">
        <v>313017.07332311157</v>
      </c>
      <c r="Z18">
        <v>412032.67814981018</v>
      </c>
      <c r="AA18">
        <v>447167.24760444509</v>
      </c>
      <c r="AK18">
        <v>15</v>
      </c>
      <c r="AL18">
        <v>28147.418386441776</v>
      </c>
      <c r="AM18">
        <v>37051.193590316216</v>
      </c>
      <c r="AN18">
        <v>40210.597694916825</v>
      </c>
      <c r="AO18">
        <v>19723.005412214068</v>
      </c>
      <c r="AP18">
        <v>25961.915287506275</v>
      </c>
      <c r="AQ18">
        <v>28175.722017448668</v>
      </c>
      <c r="AR18">
        <v>44548.551695881768</v>
      </c>
      <c r="AS18">
        <v>58640.440497640288</v>
      </c>
      <c r="AT18">
        <v>63640.788136973948</v>
      </c>
    </row>
    <row r="19" spans="1:46" x14ac:dyDescent="0.25">
      <c r="A19" s="9">
        <v>44526</v>
      </c>
      <c r="B19">
        <v>1.836329740518965E-2</v>
      </c>
      <c r="C19">
        <v>-4.3711760701759007E-3</v>
      </c>
      <c r="D19">
        <v>7.5159949092909861E-3</v>
      </c>
      <c r="R19">
        <v>16</v>
      </c>
      <c r="S19">
        <v>177091.8727967327</v>
      </c>
      <c r="T19">
        <v>233110.73051814814</v>
      </c>
      <c r="U19">
        <v>252988.38970961812</v>
      </c>
      <c r="V19">
        <v>158949.65482635907</v>
      </c>
      <c r="W19">
        <v>209229.64767959513</v>
      </c>
      <c r="X19">
        <v>227070.93546622724</v>
      </c>
      <c r="Y19">
        <v>323282.64321573253</v>
      </c>
      <c r="Z19">
        <v>425545.52015132143</v>
      </c>
      <c r="AA19">
        <v>461832.34745104646</v>
      </c>
      <c r="AK19">
        <v>16</v>
      </c>
      <c r="AL19">
        <v>29070.528706512381</v>
      </c>
      <c r="AM19">
        <v>38266.308195307116</v>
      </c>
      <c r="AN19">
        <v>41529.326723589118</v>
      </c>
      <c r="AO19">
        <v>20369.832399643692</v>
      </c>
      <c r="AP19">
        <v>26813.350811775879</v>
      </c>
      <c r="AQ19">
        <v>29099.760570919556</v>
      </c>
      <c r="AR19">
        <v>46009.546350882738</v>
      </c>
      <c r="AS19">
        <v>60563.586523100748</v>
      </c>
      <c r="AT19">
        <v>65727.923358403903</v>
      </c>
    </row>
    <row r="20" spans="1:46" x14ac:dyDescent="0.25">
      <c r="A20" s="8">
        <v>44529</v>
      </c>
      <c r="B20">
        <v>-3.0105871498881952E-2</v>
      </c>
      <c r="C20">
        <v>-2.0230101874662124E-2</v>
      </c>
      <c r="D20">
        <v>-2.544943898671163E-2</v>
      </c>
      <c r="R20">
        <v>17</v>
      </c>
      <c r="S20">
        <v>182542.12424484393</v>
      </c>
      <c r="T20">
        <v>240285.04109780476</v>
      </c>
      <c r="U20">
        <v>260774.46320691987</v>
      </c>
      <c r="V20">
        <v>163841.5540011366</v>
      </c>
      <c r="W20">
        <v>215668.98434843493</v>
      </c>
      <c r="X20">
        <v>234059.36285876654</v>
      </c>
      <c r="Y20">
        <v>333232.12122683343</v>
      </c>
      <c r="Z20">
        <v>438642.28202307672</v>
      </c>
      <c r="AA20">
        <v>476045.88746690494</v>
      </c>
      <c r="AK20">
        <v>17</v>
      </c>
      <c r="AL20">
        <v>29965.215112375226</v>
      </c>
      <c r="AM20">
        <v>39444.007647922488</v>
      </c>
      <c r="AN20">
        <v>42807.450160536035</v>
      </c>
      <c r="AO20">
        <v>20996.742639964948</v>
      </c>
      <c r="AP20">
        <v>27638.569393423251</v>
      </c>
      <c r="AQ20">
        <v>29995.346628521354</v>
      </c>
      <c r="AR20">
        <v>47425.55484786028</v>
      </c>
      <c r="AS20">
        <v>62427.516075244654</v>
      </c>
      <c r="AT20">
        <v>67750.792639800391</v>
      </c>
    </row>
    <row r="21" spans="1:46" x14ac:dyDescent="0.25">
      <c r="A21" s="9">
        <v>44530</v>
      </c>
      <c r="B21">
        <v>3.7547462109348208E-2</v>
      </c>
      <c r="C21">
        <v>1.6898983617039721E-2</v>
      </c>
      <c r="D21">
        <v>2.7759548339292679E-2</v>
      </c>
      <c r="R21">
        <v>18</v>
      </c>
      <c r="S21">
        <v>187834.29622139272</v>
      </c>
      <c r="T21">
        <v>247251.2674750986</v>
      </c>
      <c r="U21">
        <v>268334.70888770389</v>
      </c>
      <c r="V21">
        <v>168591.56819246931</v>
      </c>
      <c r="W21">
        <v>221921.55404927084</v>
      </c>
      <c r="X21">
        <v>240845.09741781329</v>
      </c>
      <c r="Y21">
        <v>342893.02388663351</v>
      </c>
      <c r="Z21">
        <v>451359.18450383394</v>
      </c>
      <c r="AA21">
        <v>489847.176980905</v>
      </c>
      <c r="AK21">
        <v>18</v>
      </c>
      <c r="AL21">
        <v>30833.951971579649</v>
      </c>
      <c r="AM21">
        <v>40587.549023814026</v>
      </c>
      <c r="AN21">
        <v>44048.50281654235</v>
      </c>
      <c r="AO21">
        <v>21605.469932132244</v>
      </c>
      <c r="AP21">
        <v>28439.853278010811</v>
      </c>
      <c r="AQ21">
        <v>30864.957045903204</v>
      </c>
      <c r="AR21">
        <v>48800.493336038926</v>
      </c>
      <c r="AS21">
        <v>64237.384085194106</v>
      </c>
      <c r="AT21">
        <v>69714.990480055611</v>
      </c>
    </row>
    <row r="22" spans="1:46" x14ac:dyDescent="0.25">
      <c r="A22" s="8">
        <v>44531</v>
      </c>
      <c r="B22">
        <v>-2.6138410016149322E-2</v>
      </c>
      <c r="C22">
        <v>-5.6017918562717796E-2</v>
      </c>
      <c r="D22">
        <v>-4.0152400619770288E-2</v>
      </c>
      <c r="R22">
        <v>19</v>
      </c>
      <c r="S22">
        <v>192981.39431082938</v>
      </c>
      <c r="T22">
        <v>254026.52924588765</v>
      </c>
      <c r="U22">
        <v>275687.7061583277</v>
      </c>
      <c r="V22">
        <v>173211.37062469285</v>
      </c>
      <c r="W22">
        <v>228002.72255699366</v>
      </c>
      <c r="X22">
        <v>247444.81517813265</v>
      </c>
      <c r="Y22">
        <v>352289.09299452323</v>
      </c>
      <c r="Z22">
        <v>463727.47955401533</v>
      </c>
      <c r="AA22">
        <v>503270.13284931891</v>
      </c>
      <c r="AK22">
        <v>19</v>
      </c>
      <c r="AL22">
        <v>31678.874216746415</v>
      </c>
      <c r="AM22">
        <v>41699.74259143151</v>
      </c>
      <c r="AN22">
        <v>45255.534595352023</v>
      </c>
      <c r="AO22">
        <v>22197.510231726868</v>
      </c>
      <c r="AP22">
        <v>29219.171631558838</v>
      </c>
      <c r="AQ22">
        <v>31710.728902466952</v>
      </c>
      <c r="AR22">
        <v>50137.740745412106</v>
      </c>
      <c r="AS22">
        <v>65997.638328144516</v>
      </c>
      <c r="AT22">
        <v>71625.343922017288</v>
      </c>
    </row>
    <row r="23" spans="1:46" x14ac:dyDescent="0.25">
      <c r="A23" s="9">
        <v>44532</v>
      </c>
      <c r="B23">
        <v>-5.2559995999999956E-2</v>
      </c>
      <c r="C23">
        <v>-3.8778440359457024E-2</v>
      </c>
      <c r="D23">
        <v>-4.6203056438514127E-2</v>
      </c>
      <c r="G23" t="s">
        <v>98</v>
      </c>
      <c r="H23" t="s">
        <v>99</v>
      </c>
      <c r="I23" t="s">
        <v>101</v>
      </c>
      <c r="R23">
        <v>20</v>
      </c>
      <c r="S23">
        <v>197994.73291812005</v>
      </c>
      <c r="T23">
        <v>260625.71986160701</v>
      </c>
      <c r="U23">
        <v>282849.6184544572</v>
      </c>
      <c r="V23">
        <v>177711.11659593321</v>
      </c>
      <c r="W23">
        <v>233925.85755995291</v>
      </c>
      <c r="X23">
        <v>253873.02370847602</v>
      </c>
      <c r="Y23">
        <v>361440.98308809462</v>
      </c>
      <c r="Z23">
        <v>475774.35528943071</v>
      </c>
      <c r="AA23">
        <v>516344.26155442087</v>
      </c>
      <c r="AK23">
        <v>20</v>
      </c>
      <c r="AL23">
        <v>32501.839164810364</v>
      </c>
      <c r="AM23">
        <v>42783.03318633201</v>
      </c>
      <c r="AN23">
        <v>46431.198806871944</v>
      </c>
      <c r="AO23">
        <v>22774.16496794048</v>
      </c>
      <c r="AP23">
        <v>29978.237559840021</v>
      </c>
      <c r="AQ23">
        <v>32534.521382772113</v>
      </c>
      <c r="AR23">
        <v>51440.236627250597</v>
      </c>
      <c r="AS23">
        <v>67712.148213421708</v>
      </c>
      <c r="AT23">
        <v>73486.052324643708</v>
      </c>
    </row>
    <row r="24" spans="1:46" x14ac:dyDescent="0.25">
      <c r="A24" s="8">
        <v>44533</v>
      </c>
      <c r="B24">
        <v>-7.8527442039486063E-3</v>
      </c>
      <c r="C24">
        <v>1.1077673807116644E-2</v>
      </c>
      <c r="D24">
        <v>9.4715343243157802E-4</v>
      </c>
      <c r="F24" t="s">
        <v>95</v>
      </c>
      <c r="G24">
        <v>-1.7032467183512559E-3</v>
      </c>
      <c r="H24">
        <v>0.71715467545536626</v>
      </c>
      <c r="I24">
        <v>0.85418984970053802</v>
      </c>
      <c r="R24">
        <v>21</v>
      </c>
      <c r="S24">
        <v>202884.22801312961</v>
      </c>
      <c r="T24">
        <v>267061.89197646652</v>
      </c>
      <c r="U24">
        <v>289834.611447328</v>
      </c>
      <c r="V24">
        <v>182099.70623222334</v>
      </c>
      <c r="W24">
        <v>239702.67453017153</v>
      </c>
      <c r="X24">
        <v>260142.43747460475</v>
      </c>
      <c r="Y24">
        <v>370366.7958503741</v>
      </c>
      <c r="Z24">
        <v>487523.63943569653</v>
      </c>
      <c r="AA24">
        <v>529095.42264339153</v>
      </c>
      <c r="AK24">
        <v>21</v>
      </c>
      <c r="AL24">
        <v>33304.474572494917</v>
      </c>
      <c r="AM24">
        <v>43839.56346787596</v>
      </c>
      <c r="AN24">
        <v>47577.820817849875</v>
      </c>
      <c r="AO24">
        <v>23336.574716232793</v>
      </c>
      <c r="AP24">
        <v>30718.552432592147</v>
      </c>
      <c r="AQ24">
        <v>33337.963880332558</v>
      </c>
      <c r="AR24">
        <v>52710.557210874846</v>
      </c>
      <c r="AS24">
        <v>69384.304900029136</v>
      </c>
      <c r="AT24">
        <v>75300.796015535481</v>
      </c>
    </row>
    <row r="25" spans="1:46" x14ac:dyDescent="0.25">
      <c r="A25" s="9">
        <v>44536</v>
      </c>
      <c r="B25">
        <v>-7.6170187234042522E-2</v>
      </c>
      <c r="C25">
        <v>-3.6227816518960412E-2</v>
      </c>
      <c r="D25">
        <v>-5.7414860847495246E-2</v>
      </c>
      <c r="F25" t="s">
        <v>96</v>
      </c>
      <c r="G25">
        <v>-1.8687506931652303E-3</v>
      </c>
      <c r="H25">
        <v>0.64368559844403617</v>
      </c>
      <c r="R25">
        <v>22</v>
      </c>
      <c r="S25">
        <v>207658.62777561028</v>
      </c>
      <c r="T25">
        <v>273346.56105156866</v>
      </c>
      <c r="U25">
        <v>296655.18253658613</v>
      </c>
      <c r="V25">
        <v>186384.99150401223</v>
      </c>
      <c r="W25">
        <v>245343.50922466919</v>
      </c>
      <c r="X25">
        <v>266264.27357716032</v>
      </c>
      <c r="Y25">
        <v>379082.5011541117</v>
      </c>
      <c r="Z25">
        <v>498996.35356000421</v>
      </c>
      <c r="AA25">
        <v>541546.43022015959</v>
      </c>
      <c r="AK25">
        <v>22</v>
      </c>
      <c r="AL25">
        <v>34088.216497856272</v>
      </c>
      <c r="AM25">
        <v>44871.223757382242</v>
      </c>
      <c r="AN25">
        <v>48697.452139794674</v>
      </c>
      <c r="AO25">
        <v>23885.74572806267</v>
      </c>
      <c r="AP25">
        <v>31441.440805306986</v>
      </c>
      <c r="AQ25">
        <v>34122.493897232387</v>
      </c>
      <c r="AR25">
        <v>53950.975326626736</v>
      </c>
      <c r="AS25">
        <v>71017.1001748454</v>
      </c>
      <c r="AT25">
        <v>77072.821895181056</v>
      </c>
    </row>
    <row r="26" spans="1:46" x14ac:dyDescent="0.25">
      <c r="A26" s="8">
        <v>44537</v>
      </c>
      <c r="B26">
        <v>-1.9161694541823343E-2</v>
      </c>
      <c r="C26">
        <v>2.0521335504885435E-3</v>
      </c>
      <c r="D26">
        <v>-8.9766335876072783E-3</v>
      </c>
      <c r="F26" t="s">
        <v>97</v>
      </c>
      <c r="G26">
        <v>-1.8801272034687649E-3</v>
      </c>
      <c r="H26">
        <v>0.65458582433605916</v>
      </c>
      <c r="R26">
        <v>23</v>
      </c>
      <c r="S26">
        <v>212325.6965202642</v>
      </c>
      <c r="T26">
        <v>279489.94746034779</v>
      </c>
      <c r="U26">
        <v>303322.4236003774</v>
      </c>
      <c r="V26">
        <v>190573.94130898215</v>
      </c>
      <c r="W26">
        <v>250857.53498835405</v>
      </c>
      <c r="X26">
        <v>272248.48758426018</v>
      </c>
      <c r="Y26">
        <v>387602.27281846723</v>
      </c>
      <c r="Z26">
        <v>510211.1550365538</v>
      </c>
      <c r="AA26">
        <v>553717.53259781026</v>
      </c>
      <c r="AK26">
        <v>23</v>
      </c>
      <c r="AL26">
        <v>34854.339492514853</v>
      </c>
      <c r="AM26">
        <v>45879.691780963425</v>
      </c>
      <c r="AN26">
        <v>49791.913560735498</v>
      </c>
      <c r="AO26">
        <v>24422.571086701995</v>
      </c>
      <c r="AP26">
        <v>32148.078267189365</v>
      </c>
      <c r="AQ26">
        <v>34889.387266717138</v>
      </c>
      <c r="AR26">
        <v>55163.508190720277</v>
      </c>
      <c r="AS26">
        <v>72613.189353090973</v>
      </c>
      <c r="AT26">
        <v>78805.011701028954</v>
      </c>
    </row>
    <row r="27" spans="1:46" x14ac:dyDescent="0.25">
      <c r="A27" s="9">
        <v>44538</v>
      </c>
      <c r="B27">
        <v>4.5177025968094128E-2</v>
      </c>
      <c r="C27">
        <v>5.9161920827586485E-2</v>
      </c>
      <c r="D27">
        <v>5.1966094857393674E-2</v>
      </c>
      <c r="R27">
        <v>24</v>
      </c>
      <c r="S27">
        <v>216892.36297293002</v>
      </c>
      <c r="T27">
        <v>285501.17166844872</v>
      </c>
      <c r="U27">
        <v>309846.23281847144</v>
      </c>
      <c r="V27">
        <v>194672.7745580466</v>
      </c>
      <c r="W27">
        <v>256252.93793865319</v>
      </c>
      <c r="X27">
        <v>278103.96365435229</v>
      </c>
      <c r="Y27">
        <v>395938.75928838522</v>
      </c>
      <c r="Z27">
        <v>521184.69334899692</v>
      </c>
      <c r="AA27">
        <v>565626.79898340744</v>
      </c>
      <c r="AK27">
        <v>24</v>
      </c>
      <c r="AL27">
        <v>35603.980941943002</v>
      </c>
      <c r="AM27">
        <v>46866.464709292319</v>
      </c>
      <c r="AN27">
        <v>50862.829917061426</v>
      </c>
      <c r="AO27">
        <v>24947.847762569836</v>
      </c>
      <c r="AP27">
        <v>32839.513891546012</v>
      </c>
      <c r="AQ27">
        <v>35639.782517956904</v>
      </c>
      <c r="AR27">
        <v>56349.955928297226</v>
      </c>
      <c r="AS27">
        <v>74174.941987248385</v>
      </c>
      <c r="AT27">
        <v>80499.9370404246</v>
      </c>
    </row>
    <row r="28" spans="1:46" x14ac:dyDescent="0.25">
      <c r="A28" s="8">
        <v>44539</v>
      </c>
      <c r="B28">
        <v>1.3704183264775207E-2</v>
      </c>
      <c r="C28">
        <v>1.4516806889232053E-2</v>
      </c>
      <c r="D28">
        <v>1.4101375792586166E-2</v>
      </c>
      <c r="R28">
        <v>25</v>
      </c>
      <c r="S28">
        <v>221364.84099591587</v>
      </c>
      <c r="T28">
        <v>291388.41314768518</v>
      </c>
      <c r="U28">
        <v>316235.48713702266</v>
      </c>
      <c r="V28">
        <v>198687.06853294885</v>
      </c>
      <c r="W28">
        <v>261537.05959949389</v>
      </c>
      <c r="X28">
        <v>283838.66933278402</v>
      </c>
      <c r="Y28">
        <v>404103.30401966564</v>
      </c>
      <c r="Z28">
        <v>531931.90018915175</v>
      </c>
      <c r="AA28">
        <v>577290.43431380799</v>
      </c>
      <c r="AK28">
        <v>25</v>
      </c>
      <c r="AL28">
        <v>36338.160883140481</v>
      </c>
      <c r="AM28">
        <v>47832.885244133904</v>
      </c>
      <c r="AN28">
        <v>51911.658404486399</v>
      </c>
      <c r="AO28">
        <v>25462.290499554612</v>
      </c>
      <c r="AP28">
        <v>33516.688514719848</v>
      </c>
      <c r="AQ28">
        <v>36374.700713649443</v>
      </c>
      <c r="AR28">
        <v>57511.932938603422</v>
      </c>
      <c r="AS28">
        <v>75704.483153875932</v>
      </c>
      <c r="AT28">
        <v>82159.904198004879</v>
      </c>
    </row>
    <row r="29" spans="1:46" x14ac:dyDescent="0.25">
      <c r="A29" s="9">
        <v>44540</v>
      </c>
      <c r="B29">
        <v>-4.104425760806589E-2</v>
      </c>
      <c r="C29">
        <v>-5.1972389593250255E-2</v>
      </c>
      <c r="D29">
        <v>-4.6387875946681888E-2</v>
      </c>
      <c r="R29">
        <v>26</v>
      </c>
      <c r="S29">
        <v>225748.7287723078</v>
      </c>
      <c r="T29">
        <v>297159.0409349766</v>
      </c>
      <c r="U29">
        <v>322498.1839604397</v>
      </c>
      <c r="V29">
        <v>202621.8479096106</v>
      </c>
      <c r="W29">
        <v>266716.51408509968</v>
      </c>
      <c r="X29">
        <v>289459.78272801515</v>
      </c>
      <c r="Y29">
        <v>412106.12654071854</v>
      </c>
      <c r="Z29">
        <v>542466.22779339482</v>
      </c>
      <c r="AA29">
        <v>588723.03791531222</v>
      </c>
      <c r="AK29">
        <v>26</v>
      </c>
      <c r="AL29">
        <v>37057.798286241465</v>
      </c>
      <c r="AM29">
        <v>48780.163050256626</v>
      </c>
      <c r="AN29">
        <v>52939.711837487805</v>
      </c>
      <c r="AO29">
        <v>25966.54322359943</v>
      </c>
      <c r="AP29">
        <v>34180.449753513538</v>
      </c>
      <c r="AQ29">
        <v>37095.061747999185</v>
      </c>
      <c r="AR29">
        <v>58650.893663675692</v>
      </c>
      <c r="AS29">
        <v>77203.727373613918</v>
      </c>
      <c r="AT29">
        <v>83786.990948108127</v>
      </c>
    </row>
    <row r="30" spans="1:46" x14ac:dyDescent="0.25">
      <c r="A30" s="8">
        <v>44543</v>
      </c>
      <c r="B30">
        <v>-6.1474553414156479E-3</v>
      </c>
      <c r="C30">
        <v>-1.3689479008081571E-2</v>
      </c>
      <c r="D30">
        <v>-9.8137436413665742E-3</v>
      </c>
      <c r="R30">
        <v>27</v>
      </c>
      <c r="S30">
        <v>230049.09096859931</v>
      </c>
      <c r="T30">
        <v>302819.72178519709</v>
      </c>
      <c r="U30">
        <v>328641.55852657044</v>
      </c>
      <c r="V30">
        <v>206481.65850359216</v>
      </c>
      <c r="W30">
        <v>271797.28517309582</v>
      </c>
      <c r="X30">
        <v>294973.79786227451</v>
      </c>
      <c r="Y30">
        <v>419956.47244110808</v>
      </c>
      <c r="Z30">
        <v>552799.84637656063</v>
      </c>
      <c r="AA30">
        <v>599937.81777301151</v>
      </c>
      <c r="AK30">
        <v>27</v>
      </c>
      <c r="AL30">
        <v>37763.724541926749</v>
      </c>
      <c r="AM30">
        <v>49709.392509270932</v>
      </c>
      <c r="AN30">
        <v>53948.177917038214</v>
      </c>
      <c r="AO30">
        <v>26461.18849338415</v>
      </c>
      <c r="AP30">
        <v>34831.56444537302</v>
      </c>
      <c r="AQ30">
        <v>37801.697847691641</v>
      </c>
      <c r="AR30">
        <v>59768.153934693102</v>
      </c>
      <c r="AS30">
        <v>78674.406709953168</v>
      </c>
      <c r="AT30">
        <v>85383.077049561572</v>
      </c>
    </row>
    <row r="31" spans="1:46" x14ac:dyDescent="0.25">
      <c r="A31" s="9">
        <v>44544</v>
      </c>
      <c r="B31">
        <v>-6.9760951171780276E-3</v>
      </c>
      <c r="C31">
        <v>-1.7535290918959417E-2</v>
      </c>
      <c r="D31">
        <v>-1.2088983793454813E-2</v>
      </c>
      <c r="R31">
        <v>28</v>
      </c>
      <c r="S31">
        <v>234270.52731541963</v>
      </c>
      <c r="T31">
        <v>308376.51044580748</v>
      </c>
      <c r="U31">
        <v>334672.18187917088</v>
      </c>
      <c r="V31">
        <v>210270.62882505183</v>
      </c>
      <c r="W31">
        <v>276784.80733093561</v>
      </c>
      <c r="X31">
        <v>300386.61260721687</v>
      </c>
      <c r="Y31">
        <v>427662.73856622528</v>
      </c>
      <c r="Z31">
        <v>562943.80892901088</v>
      </c>
      <c r="AA31">
        <v>610946.76938032184</v>
      </c>
      <c r="AK31">
        <v>28</v>
      </c>
      <c r="AL31">
        <v>38456.694719297979</v>
      </c>
      <c r="AM31">
        <v>50621.567538667747</v>
      </c>
      <c r="AN31">
        <v>54938.135313282823</v>
      </c>
      <c r="AO31">
        <v>26946.755388761638</v>
      </c>
      <c r="AP31">
        <v>35470.72903214542</v>
      </c>
      <c r="AQ31">
        <v>38495.364841088049</v>
      </c>
      <c r="AR31">
        <v>60864.908789667526</v>
      </c>
      <c r="AS31">
        <v>80118.094223133783</v>
      </c>
      <c r="AT31">
        <v>86949.869699525036</v>
      </c>
    </row>
    <row r="32" spans="1:46" x14ac:dyDescent="0.25">
      <c r="A32" s="8">
        <v>44545</v>
      </c>
      <c r="B32">
        <v>-5.2454087627311942E-2</v>
      </c>
      <c r="C32">
        <v>-1.7683751342283501E-2</v>
      </c>
      <c r="D32">
        <v>-3.5710692913156802E-2</v>
      </c>
      <c r="R32">
        <v>29</v>
      </c>
      <c r="S32">
        <v>238417.23025362627</v>
      </c>
      <c r="T32">
        <v>313834.92553793662</v>
      </c>
      <c r="U32">
        <v>340596.04321946611</v>
      </c>
      <c r="V32">
        <v>213992.52181927147</v>
      </c>
      <c r="W32">
        <v>281684.03382332675</v>
      </c>
      <c r="X32">
        <v>305703.60259895923</v>
      </c>
      <c r="Y32">
        <v>435232.57825069572</v>
      </c>
      <c r="Z32">
        <v>572908.1897381607</v>
      </c>
      <c r="AA32">
        <v>621760.82607242244</v>
      </c>
      <c r="AK32">
        <v>29</v>
      </c>
      <c r="AL32">
        <v>39137.397028775951</v>
      </c>
      <c r="AM32">
        <v>51517.594048082632</v>
      </c>
      <c r="AN32">
        <v>55910.567183965642</v>
      </c>
      <c r="AO32">
        <v>27423.726141447347</v>
      </c>
      <c r="AP32">
        <v>36098.578288231714</v>
      </c>
      <c r="AQ32">
        <v>39176.751630639061</v>
      </c>
      <c r="AR32">
        <v>61942.247450249364</v>
      </c>
      <c r="AS32">
        <v>81536.223684511919</v>
      </c>
      <c r="AT32">
        <v>88488.924928927649</v>
      </c>
    </row>
    <row r="33" spans="1:46" x14ac:dyDescent="0.25">
      <c r="A33" s="9">
        <v>44546</v>
      </c>
      <c r="B33">
        <v>8.5013144547785909E-3</v>
      </c>
      <c r="C33">
        <v>2.4136816257599097E-2</v>
      </c>
      <c r="D33">
        <v>1.6171227236389793E-2</v>
      </c>
      <c r="R33">
        <v>30</v>
      </c>
      <c r="S33">
        <v>242493.03370401496</v>
      </c>
      <c r="T33">
        <v>319200.01375324419</v>
      </c>
      <c r="U33">
        <v>346418.61957716424</v>
      </c>
      <c r="V33">
        <v>217650.77864014191</v>
      </c>
      <c r="W33">
        <v>286499.4943324317</v>
      </c>
      <c r="X33">
        <v>310929.68377163127</v>
      </c>
      <c r="Y33">
        <v>442672.9903478779</v>
      </c>
      <c r="Z33">
        <v>582702.20158036996</v>
      </c>
      <c r="AA33">
        <v>632389.98621125415</v>
      </c>
      <c r="AK33">
        <v>30</v>
      </c>
      <c r="AL33">
        <v>39806.460827895775</v>
      </c>
      <c r="AM33">
        <v>52398.300477536279</v>
      </c>
      <c r="AN33">
        <v>56866.372611279679</v>
      </c>
      <c r="AO33">
        <v>27892.541744711092</v>
      </c>
      <c r="AP33">
        <v>36715.692704772766</v>
      </c>
      <c r="AQ33">
        <v>39846.48820673013</v>
      </c>
      <c r="AR33">
        <v>63001.165992394934</v>
      </c>
      <c r="AS33">
        <v>82930.106255295381</v>
      </c>
      <c r="AT33">
        <v>90001.665703421328</v>
      </c>
    </row>
    <row r="34" spans="1:46" x14ac:dyDescent="0.25">
      <c r="A34" s="8">
        <v>44547</v>
      </c>
      <c r="B34">
        <v>-6.4644125918980999E-2</v>
      </c>
      <c r="C34">
        <v>-6.0458268412438704E-2</v>
      </c>
      <c r="D34">
        <v>-6.2574679785117493E-2</v>
      </c>
      <c r="R34">
        <v>31</v>
      </c>
      <c r="S34">
        <v>246501.45457611891</v>
      </c>
      <c r="T34">
        <v>324476.40449305449</v>
      </c>
      <c r="U34">
        <v>352144.93510874128</v>
      </c>
      <c r="V34">
        <v>221248.55590658376</v>
      </c>
      <c r="W34">
        <v>291235.34399948269</v>
      </c>
      <c r="X34">
        <v>316069.36558083392</v>
      </c>
      <c r="Y34">
        <v>449990.39500451204</v>
      </c>
      <c r="Z34">
        <v>592334.29546512302</v>
      </c>
      <c r="AA34">
        <v>642843.42143501726</v>
      </c>
      <c r="AK34">
        <v>31</v>
      </c>
      <c r="AL34">
        <v>40464.463435186692</v>
      </c>
      <c r="AM34">
        <v>53264.446766725341</v>
      </c>
      <c r="AN34">
        <v>57806.376335980989</v>
      </c>
      <c r="AO34">
        <v>28353.606727889121</v>
      </c>
      <c r="AP34">
        <v>37322.604774466294</v>
      </c>
      <c r="AQ34">
        <v>40505.152468413027</v>
      </c>
      <c r="AR34">
        <v>64042.578130605238</v>
      </c>
      <c r="AS34">
        <v>84300.944682123227</v>
      </c>
      <c r="AT34">
        <v>91489.397329436048</v>
      </c>
    </row>
    <row r="35" spans="1:46" x14ac:dyDescent="0.25">
      <c r="A35" s="9">
        <v>44550</v>
      </c>
      <c r="B35">
        <v>-9.117133588143542E-3</v>
      </c>
      <c r="C35">
        <v>6.3408250229622602E-3</v>
      </c>
      <c r="D35">
        <v>-1.4576194594154016E-3</v>
      </c>
      <c r="R35">
        <v>32</v>
      </c>
      <c r="S35">
        <v>250445.72829519035</v>
      </c>
      <c r="T35">
        <v>329668.35663346486</v>
      </c>
      <c r="U35">
        <v>357779.61185027193</v>
      </c>
      <c r="V35">
        <v>224788.7575899591</v>
      </c>
      <c r="W35">
        <v>295895.4053990278</v>
      </c>
      <c r="X35">
        <v>321126.79655708442</v>
      </c>
      <c r="Y35">
        <v>457190.69851551141</v>
      </c>
      <c r="Z35">
        <v>601812.24600511207</v>
      </c>
      <c r="AA35">
        <v>653129.56930787349</v>
      </c>
      <c r="AK35">
        <v>32</v>
      </c>
      <c r="AL35">
        <v>41111.935962106203</v>
      </c>
      <c r="AM35">
        <v>54116.73203175205</v>
      </c>
      <c r="AN35">
        <v>58731.33708872315</v>
      </c>
      <c r="AO35">
        <v>28807.293242842999</v>
      </c>
      <c r="AP35">
        <v>37919.804370681093</v>
      </c>
      <c r="AQ35">
        <v>41153.276061204284</v>
      </c>
      <c r="AR35">
        <v>65067.324448051921</v>
      </c>
      <c r="AS35">
        <v>85649.845446925494</v>
      </c>
      <c r="AT35">
        <v>92953.320640074162</v>
      </c>
    </row>
    <row r="36" spans="1:46" x14ac:dyDescent="0.25">
      <c r="A36" s="8">
        <v>44551</v>
      </c>
      <c r="B36">
        <v>-5.4888715272123606E-2</v>
      </c>
      <c r="C36">
        <v>-0.10555658773294266</v>
      </c>
      <c r="D36">
        <v>-8.0191035009376049E-2</v>
      </c>
      <c r="R36">
        <v>33</v>
      </c>
      <c r="S36">
        <v>254328.83936839364</v>
      </c>
      <c r="T36">
        <v>334779.79876043653</v>
      </c>
      <c r="U36">
        <v>363326.91338341951</v>
      </c>
      <c r="V36">
        <v>228274.06244890386</v>
      </c>
      <c r="W36">
        <v>300483.20465212857</v>
      </c>
      <c r="X36">
        <v>326105.80349843408</v>
      </c>
      <c r="Y36">
        <v>464279.3491227944</v>
      </c>
      <c r="Z36">
        <v>611143.22486571921</v>
      </c>
      <c r="AA36">
        <v>663256.21303256345</v>
      </c>
      <c r="AK36">
        <v>33</v>
      </c>
      <c r="AL36">
        <v>41749.368330635625</v>
      </c>
      <c r="AM36">
        <v>54955.801169918326</v>
      </c>
      <c r="AN36">
        <v>59641.954758050888</v>
      </c>
      <c r="AO36">
        <v>29253.944579808311</v>
      </c>
      <c r="AP36">
        <v>38507.743375461963</v>
      </c>
      <c r="AQ36">
        <v>41791.349399726154</v>
      </c>
      <c r="AR36">
        <v>66076.180337860249</v>
      </c>
      <c r="AS36">
        <v>86977.829220244617</v>
      </c>
      <c r="AT36">
        <v>94394.543339800352</v>
      </c>
    </row>
    <row r="37" spans="1:46" x14ac:dyDescent="0.25">
      <c r="A37" s="9">
        <v>44552</v>
      </c>
      <c r="B37">
        <v>5.7460998320617657E-2</v>
      </c>
      <c r="C37">
        <v>8.8016807246679526E-2</v>
      </c>
      <c r="D37">
        <v>7.229904346228401E-2</v>
      </c>
      <c r="R37">
        <v>34</v>
      </c>
      <c r="S37">
        <v>258153.54781145285</v>
      </c>
      <c r="T37">
        <v>339814.36395589204</v>
      </c>
      <c r="U37">
        <v>368790.78258778976</v>
      </c>
      <c r="V37">
        <v>231706.94774869122</v>
      </c>
      <c r="W37">
        <v>305002.00264878746</v>
      </c>
      <c r="X37">
        <v>331009.92535527318</v>
      </c>
      <c r="Y37">
        <v>471261.38525734318</v>
      </c>
      <c r="Z37">
        <v>620333.86426731909</v>
      </c>
      <c r="AA37">
        <v>673230.55036763311</v>
      </c>
      <c r="AK37">
        <v>34</v>
      </c>
      <c r="AL37">
        <v>42377.21361134827</v>
      </c>
      <c r="AM37">
        <v>55782.250570040072</v>
      </c>
      <c r="AN37">
        <v>60538.876587640385</v>
      </c>
      <c r="AO37">
        <v>29693.878207095895</v>
      </c>
      <c r="AP37">
        <v>39086.839680769088</v>
      </c>
      <c r="AQ37">
        <v>42419.826010136989</v>
      </c>
      <c r="AR37">
        <v>67069.862868913086</v>
      </c>
      <c r="AS37">
        <v>88285.839898875405</v>
      </c>
      <c r="AT37">
        <v>95814.089812732986</v>
      </c>
    </row>
    <row r="38" spans="1:46" x14ac:dyDescent="0.25">
      <c r="A38" s="8">
        <v>44553</v>
      </c>
      <c r="B38">
        <v>1.7460423280423675E-3</v>
      </c>
      <c r="C38">
        <v>1.0352201842357894E-2</v>
      </c>
      <c r="D38">
        <v>5.9864926477502418E-3</v>
      </c>
      <c r="R38">
        <v>35</v>
      </c>
      <c r="S38">
        <v>261922.41210099982</v>
      </c>
      <c r="T38">
        <v>344775.42001049977</v>
      </c>
      <c r="U38">
        <v>374174.87442999973</v>
      </c>
      <c r="V38">
        <v>235089.70986222132</v>
      </c>
      <c r="W38">
        <v>309454.82216557703</v>
      </c>
      <c r="X38">
        <v>335842.44266031618</v>
      </c>
      <c r="Y38">
        <v>478141.47743890039</v>
      </c>
      <c r="Z38">
        <v>629390.3121389607</v>
      </c>
      <c r="AA38">
        <v>683059.25348414341</v>
      </c>
      <c r="AK38">
        <v>35</v>
      </c>
      <c r="AL38">
        <v>42995.891791153736</v>
      </c>
      <c r="AM38">
        <v>56596.633072028897</v>
      </c>
      <c r="AN38">
        <v>61422.702558791047</v>
      </c>
      <c r="AO38">
        <v>30127.388411164895</v>
      </c>
      <c r="AP38">
        <v>39657.480663676244</v>
      </c>
      <c r="AQ38">
        <v>43039.126301664131</v>
      </c>
      <c r="AR38">
        <v>68049.036749010513</v>
      </c>
      <c r="AS38">
        <v>89574.752455330163</v>
      </c>
      <c r="AT38">
        <v>97212.909641443577</v>
      </c>
    </row>
    <row r="39" spans="1:46" x14ac:dyDescent="0.25">
      <c r="A39" s="9">
        <v>44557</v>
      </c>
      <c r="B39">
        <v>-6.1268894931930272E-3</v>
      </c>
      <c r="C39">
        <v>-2.5351254344874135E-3</v>
      </c>
      <c r="D39">
        <v>-4.3494655295848268E-3</v>
      </c>
      <c r="R39">
        <v>36</v>
      </c>
      <c r="S39">
        <v>265637.80919509905</v>
      </c>
      <c r="T39">
        <v>349666.09577722219</v>
      </c>
      <c r="U39">
        <v>379482.58456442715</v>
      </c>
      <c r="V39">
        <v>238424.48223953863</v>
      </c>
      <c r="W39">
        <v>313844.47151939268</v>
      </c>
      <c r="X39">
        <v>340606.40319934086</v>
      </c>
      <c r="Y39">
        <v>484923.9648235988</v>
      </c>
      <c r="Z39">
        <v>638318.2802269822</v>
      </c>
      <c r="AA39">
        <v>692748.52117656975</v>
      </c>
      <c r="AK39">
        <v>36</v>
      </c>
      <c r="AL39">
        <v>43605.793059768577</v>
      </c>
      <c r="AM39">
        <v>57399.462292960678</v>
      </c>
      <c r="AN39">
        <v>62293.990085383673</v>
      </c>
      <c r="AO39">
        <v>30554.748599465536</v>
      </c>
      <c r="AP39">
        <v>40220.026217663821</v>
      </c>
      <c r="AQ39">
        <v>43649.640856379337</v>
      </c>
      <c r="AR39">
        <v>69014.319526324107</v>
      </c>
      <c r="AS39">
        <v>90845.379784651115</v>
      </c>
      <c r="AT39">
        <v>98591.885037605854</v>
      </c>
    </row>
    <row r="40" spans="1:46" x14ac:dyDescent="0.25">
      <c r="A40" s="8">
        <v>44558</v>
      </c>
      <c r="B40">
        <v>2.7634798614389108E-3</v>
      </c>
      <c r="C40">
        <v>8.1541774387109064E-3</v>
      </c>
      <c r="D40">
        <v>5.435987030426517E-3</v>
      </c>
      <c r="R40">
        <v>37</v>
      </c>
      <c r="S40">
        <v>269301.952067076</v>
      </c>
      <c r="T40">
        <v>354489.30425155925</v>
      </c>
      <c r="U40">
        <v>384717.07438153715</v>
      </c>
      <c r="V40">
        <v>241713.25114540313</v>
      </c>
      <c r="W40">
        <v>318173.56528323476</v>
      </c>
      <c r="X40">
        <v>345304.64449343306</v>
      </c>
      <c r="Y40">
        <v>491612.88721210643</v>
      </c>
      <c r="Z40">
        <v>647123.08622818091</v>
      </c>
      <c r="AA40">
        <v>702304.12458872341</v>
      </c>
      <c r="AK40">
        <v>37</v>
      </c>
      <c r="AL40">
        <v>44207.280687983075</v>
      </c>
      <c r="AM40">
        <v>58191.216415814451</v>
      </c>
      <c r="AN40">
        <v>63153.258125690103</v>
      </c>
      <c r="AO40">
        <v>30976.213317251826</v>
      </c>
      <c r="AP40">
        <v>40774.811407402914</v>
      </c>
      <c r="AQ40">
        <v>44251.733310359748</v>
      </c>
      <c r="AR40">
        <v>69966.28614479216</v>
      </c>
      <c r="AS40">
        <v>92098.478700797859</v>
      </c>
      <c r="AT40">
        <v>99951.837349703084</v>
      </c>
    </row>
    <row r="41" spans="1:46" x14ac:dyDescent="0.25">
      <c r="A41" s="9">
        <v>44559</v>
      </c>
      <c r="B41">
        <v>-1.0069473633266393E-2</v>
      </c>
      <c r="C41">
        <v>-2.3739491798190061E-2</v>
      </c>
      <c r="D41">
        <v>-1.6864881532742335E-2</v>
      </c>
      <c r="R41">
        <v>38</v>
      </c>
      <c r="S41">
        <v>272916.90512004489</v>
      </c>
      <c r="T41">
        <v>359247.76286209992</v>
      </c>
      <c r="U41">
        <v>389881.29302863555</v>
      </c>
      <c r="V41">
        <v>244957.8694946733</v>
      </c>
      <c r="W41">
        <v>322444.54249809036</v>
      </c>
      <c r="X41">
        <v>349939.81356381899</v>
      </c>
      <c r="Y41">
        <v>498212.01318897126</v>
      </c>
      <c r="Z41">
        <v>655809.69083038054</v>
      </c>
      <c r="AA41">
        <v>711731.44741281611</v>
      </c>
      <c r="AK41">
        <v>38</v>
      </c>
      <c r="AL41">
        <v>44800.693558034131</v>
      </c>
      <c r="AM41">
        <v>58972.341520269416</v>
      </c>
      <c r="AN41">
        <v>64000.990797191611</v>
      </c>
      <c r="AO41">
        <v>31392.020020623677</v>
      </c>
      <c r="AP41">
        <v>41322.148802657699</v>
      </c>
      <c r="AQ41">
        <v>44845.742886605251</v>
      </c>
      <c r="AR41">
        <v>70905.472948907933</v>
      </c>
      <c r="AS41">
        <v>93334.755208256363</v>
      </c>
      <c r="AT41">
        <v>101293.53278415417</v>
      </c>
    </row>
    <row r="42" spans="1:46" x14ac:dyDescent="0.25">
      <c r="A42" s="8">
        <v>44560</v>
      </c>
      <c r="B42">
        <v>-7.0667168984797453E-3</v>
      </c>
      <c r="C42">
        <v>-2.7974965225503988E-3</v>
      </c>
      <c r="D42">
        <v>-4.9593142362504379E-3</v>
      </c>
      <c r="R42">
        <v>39</v>
      </c>
      <c r="S42">
        <v>276484.5977870549</v>
      </c>
      <c r="T42">
        <v>363944.01137275592</v>
      </c>
      <c r="U42">
        <v>394977.99683864979</v>
      </c>
      <c r="V42">
        <v>248160.06905918219</v>
      </c>
      <c r="W42">
        <v>326659.68274116842</v>
      </c>
      <c r="X42">
        <v>354514.38437026023</v>
      </c>
      <c r="Y42">
        <v>504724.86494979827</v>
      </c>
      <c r="Z42">
        <v>664382.73039310181</v>
      </c>
      <c r="AA42">
        <v>721035.5213568547</v>
      </c>
      <c r="AK42">
        <v>39</v>
      </c>
      <c r="AL42">
        <v>45386.348396138252</v>
      </c>
      <c r="AM42">
        <v>59743.254521447292</v>
      </c>
      <c r="AN42">
        <v>64837.640565911788</v>
      </c>
      <c r="AO42">
        <v>31802.390640871421</v>
      </c>
      <c r="AP42">
        <v>41862.330537473608</v>
      </c>
      <c r="AQ42">
        <v>45431.986629816318</v>
      </c>
      <c r="AR42">
        <v>71832.381217120259</v>
      </c>
      <c r="AS42">
        <v>94554.869153148102</v>
      </c>
      <c r="AT42">
        <v>102617.68745302894</v>
      </c>
    </row>
    <row r="43" spans="1:46" x14ac:dyDescent="0.25">
      <c r="A43" s="9">
        <v>44561</v>
      </c>
      <c r="B43">
        <v>5.068221248351587E-3</v>
      </c>
      <c r="C43">
        <v>1.5501355418241301E-2</v>
      </c>
      <c r="D43">
        <v>1.0229487514488303E-2</v>
      </c>
      <c r="R43">
        <v>40</v>
      </c>
      <c r="S43">
        <v>280006.83657124412</v>
      </c>
      <c r="T43">
        <v>368580.42773153563</v>
      </c>
      <c r="U43">
        <v>400009.76653034869</v>
      </c>
      <c r="V43">
        <v>251321.47127443517</v>
      </c>
      <c r="W43">
        <v>330821.12035104225</v>
      </c>
      <c r="X43">
        <v>359030.67324919306</v>
      </c>
      <c r="Y43">
        <v>511154.74028064788</v>
      </c>
      <c r="Z43">
        <v>672846.54587962839</v>
      </c>
      <c r="AA43">
        <v>730221.05754378263</v>
      </c>
      <c r="AK43">
        <v>40</v>
      </c>
      <c r="AL43">
        <v>45964.541748943841</v>
      </c>
      <c r="AM43">
        <v>60504.345771568944</v>
      </c>
      <c r="AN43">
        <v>65663.631069919778</v>
      </c>
      <c r="AO43">
        <v>32207.532969383647</v>
      </c>
      <c r="AP43">
        <v>42395.63013316827</v>
      </c>
      <c r="AQ43">
        <v>46010.761384833779</v>
      </c>
      <c r="AR43">
        <v>72747.480289939034</v>
      </c>
      <c r="AS43">
        <v>95759.438340838125</v>
      </c>
      <c r="AT43">
        <v>103924.97184277004</v>
      </c>
    </row>
    <row r="44" spans="1:46" x14ac:dyDescent="0.25">
      <c r="A44" s="8">
        <v>44564</v>
      </c>
      <c r="B44">
        <v>-1.8614891505500927E-2</v>
      </c>
      <c r="C44">
        <v>-6.3042286600837969E-3</v>
      </c>
      <c r="D44">
        <v>-1.2493031753194708E-2</v>
      </c>
      <c r="R44">
        <v>41</v>
      </c>
      <c r="S44">
        <v>283485.31573928351</v>
      </c>
      <c r="T44">
        <v>373159.2421466079</v>
      </c>
      <c r="U44">
        <v>404979.02248469071</v>
      </c>
      <c r="V44">
        <v>254443.59683756123</v>
      </c>
      <c r="W44">
        <v>334930.85706168774</v>
      </c>
      <c r="X44">
        <v>363490.85262508749</v>
      </c>
      <c r="Y44">
        <v>517504.73207900324</v>
      </c>
      <c r="Z44">
        <v>681205.20855297369</v>
      </c>
      <c r="AA44">
        <v>739292.47439857596</v>
      </c>
      <c r="AK44">
        <v>41</v>
      </c>
      <c r="AL44">
        <v>46535.551738914204</v>
      </c>
      <c r="AM44">
        <v>61255.98137061156</v>
      </c>
      <c r="AN44">
        <v>66479.359627020298</v>
      </c>
      <c r="AO44">
        <v>32607.641887650861</v>
      </c>
      <c r="AP44">
        <v>42922.304117417974</v>
      </c>
      <c r="AQ44">
        <v>46582.345553786945</v>
      </c>
      <c r="AR44">
        <v>73651.210348156819</v>
      </c>
      <c r="AS44">
        <v>96949.042192981942</v>
      </c>
      <c r="AT44">
        <v>105216.01478308118</v>
      </c>
    </row>
    <row r="45" spans="1:46" x14ac:dyDescent="0.25">
      <c r="A45" s="9">
        <v>44565</v>
      </c>
      <c r="B45">
        <v>8.2540449518525953E-3</v>
      </c>
      <c r="C45">
        <v>6.7006627689895583E-3</v>
      </c>
      <c r="D45">
        <v>7.4767362475295701E-3</v>
      </c>
      <c r="R45">
        <v>42</v>
      </c>
      <c r="S45">
        <v>286921.62684776331</v>
      </c>
      <c r="T45">
        <v>377682.54962613742</v>
      </c>
      <c r="U45">
        <v>409888.03835394757</v>
      </c>
      <c r="V45">
        <v>257527.8742577667</v>
      </c>
      <c r="W45">
        <v>338990.7732576725</v>
      </c>
      <c r="X45">
        <v>367896.96322538098</v>
      </c>
      <c r="Y45">
        <v>523777.74574426631</v>
      </c>
      <c r="Z45">
        <v>689462.54286745272</v>
      </c>
      <c r="AA45">
        <v>748253.922491809</v>
      </c>
      <c r="AK45">
        <v>42</v>
      </c>
      <c r="AL45">
        <v>47099.639628132209</v>
      </c>
      <c r="AM45">
        <v>61998.50522478627</v>
      </c>
      <c r="AN45">
        <v>67285.199468760286</v>
      </c>
      <c r="AO45">
        <v>33002.900463029473</v>
      </c>
      <c r="AP45">
        <v>43442.593466640843</v>
      </c>
      <c r="AQ45">
        <v>47147.00066147068</v>
      </c>
      <c r="AR45">
        <v>74543.984887862156</v>
      </c>
      <c r="AS45">
        <v>98124.225005451211</v>
      </c>
      <c r="AT45">
        <v>106491.40698266022</v>
      </c>
    </row>
    <row r="46" spans="1:46" x14ac:dyDescent="0.25">
      <c r="A46" s="8">
        <v>44566</v>
      </c>
      <c r="B46">
        <v>-3.3450789375724377E-2</v>
      </c>
      <c r="C46">
        <v>-3.3103223943215861E-2</v>
      </c>
      <c r="D46">
        <v>-3.3277002443824928E-2</v>
      </c>
      <c r="R46">
        <v>43</v>
      </c>
      <c r="S46">
        <v>290317.26725452108</v>
      </c>
      <c r="T46">
        <v>382152.32118197164</v>
      </c>
      <c r="U46">
        <v>414738.95322074438</v>
      </c>
      <c r="V46">
        <v>260575.64749571812</v>
      </c>
      <c r="W46">
        <v>343002.63803007797</v>
      </c>
      <c r="X46">
        <v>372250.924993883</v>
      </c>
      <c r="Y46">
        <v>529976.51471525582</v>
      </c>
      <c r="Z46">
        <v>697622.14692110207</v>
      </c>
      <c r="AA46">
        <v>757109.30673607974</v>
      </c>
      <c r="AK46">
        <v>43</v>
      </c>
      <c r="AL46">
        <v>47657.051215477877</v>
      </c>
      <c r="AM46">
        <v>62732.240885680061</v>
      </c>
      <c r="AN46">
        <v>68081.501736396967</v>
      </c>
      <c r="AO46">
        <v>33393.480927749653</v>
      </c>
      <c r="AP46">
        <v>43956.724894690866</v>
      </c>
      <c r="AQ46">
        <v>47704.972753928072</v>
      </c>
      <c r="AR46">
        <v>75426.192931734244</v>
      </c>
      <c r="AS46">
        <v>99285.498859119572</v>
      </c>
      <c r="AT46">
        <v>107751.70418819178</v>
      </c>
    </row>
    <row r="47" spans="1:46" x14ac:dyDescent="0.25">
      <c r="A47" s="9">
        <v>44567</v>
      </c>
      <c r="B47">
        <v>-0.11824098114337553</v>
      </c>
      <c r="C47">
        <v>-8.5280144592893195E-2</v>
      </c>
      <c r="D47">
        <v>-0.10175720048561838</v>
      </c>
      <c r="R47">
        <v>44</v>
      </c>
      <c r="S47">
        <v>293673.64774405432</v>
      </c>
      <c r="T47">
        <v>386570.4138671736</v>
      </c>
      <c r="U47">
        <v>419533.78249150619</v>
      </c>
      <c r="V47">
        <v>263588.18280776817</v>
      </c>
      <c r="W47">
        <v>346968.11818573566</v>
      </c>
      <c r="X47">
        <v>376554.54686824023</v>
      </c>
      <c r="Y47">
        <v>536103.61439045926</v>
      </c>
      <c r="Z47">
        <v>705687.41077927791</v>
      </c>
      <c r="AA47">
        <v>765862.30627208459</v>
      </c>
      <c r="AK47">
        <v>44</v>
      </c>
      <c r="AL47">
        <v>48208.018088378631</v>
      </c>
      <c r="AM47">
        <v>63457.493197967786</v>
      </c>
      <c r="AN47">
        <v>68868.597269112317</v>
      </c>
      <c r="AO47">
        <v>33779.54555602144</v>
      </c>
      <c r="AP47">
        <v>44464.91200741598</v>
      </c>
      <c r="AQ47">
        <v>48256.493651459197</v>
      </c>
      <c r="AR47">
        <v>76298.201010171761</v>
      </c>
      <c r="AS47">
        <v>100433.34622767507</v>
      </c>
      <c r="AT47">
        <v>108997.43001453107</v>
      </c>
    </row>
    <row r="48" spans="1:46" x14ac:dyDescent="0.25">
      <c r="A48" s="8">
        <v>44568</v>
      </c>
      <c r="B48">
        <v>-3.6323105018888774E-2</v>
      </c>
      <c r="C48">
        <v>-6.2847484591069518E-3</v>
      </c>
      <c r="D48">
        <v>-2.1025299650614952E-2</v>
      </c>
      <c r="R48">
        <v>45</v>
      </c>
      <c r="S48">
        <v>296992.09937718004</v>
      </c>
      <c r="T48">
        <v>390938.57979241054</v>
      </c>
      <c r="U48">
        <v>424274.42768168577</v>
      </c>
      <c r="V48">
        <v>266566.67489389982</v>
      </c>
      <c r="W48">
        <v>350888.78633992939</v>
      </c>
      <c r="X48">
        <v>380809.53556271404</v>
      </c>
      <c r="Y48">
        <v>542161.47463214188</v>
      </c>
      <c r="Z48">
        <v>713661.532934146</v>
      </c>
      <c r="AA48">
        <v>774516.39233163127</v>
      </c>
      <c r="AK48">
        <v>45</v>
      </c>
      <c r="AL48">
        <v>48752.758747215543</v>
      </c>
      <c r="AM48">
        <v>64174.549779498011</v>
      </c>
      <c r="AN48">
        <v>69646.798210307912</v>
      </c>
      <c r="AO48">
        <v>34161.24745191072</v>
      </c>
      <c r="AP48">
        <v>44967.35633976003</v>
      </c>
      <c r="AQ48">
        <v>48801.782074158167</v>
      </c>
      <c r="AR48">
        <v>77160.354940875899</v>
      </c>
      <c r="AS48">
        <v>101568.22232013257</v>
      </c>
      <c r="AT48">
        <v>110229.07848696556</v>
      </c>
    </row>
    <row r="49" spans="1:46" x14ac:dyDescent="0.25">
      <c r="A49" s="9">
        <v>44571</v>
      </c>
      <c r="B49">
        <v>-4.1982967787214644E-2</v>
      </c>
      <c r="C49">
        <v>2.6989968840839735E-3</v>
      </c>
      <c r="D49">
        <v>-1.8884896848166598E-2</v>
      </c>
      <c r="R49">
        <v>46</v>
      </c>
      <c r="S49">
        <v>300273.87965927151</v>
      </c>
      <c r="T49">
        <v>395258.47424536763</v>
      </c>
      <c r="U49">
        <v>428962.68522753072</v>
      </c>
      <c r="V49">
        <v>269512.25243405678</v>
      </c>
      <c r="W49">
        <v>354766.12820401357</v>
      </c>
      <c r="X49">
        <v>385017.50347722397</v>
      </c>
      <c r="Y49">
        <v>548152.39102651284</v>
      </c>
      <c r="Z49">
        <v>721547.53512673627</v>
      </c>
      <c r="AA49">
        <v>783074.8443235897</v>
      </c>
      <c r="AK49">
        <v>46</v>
      </c>
      <c r="AL49">
        <v>49291.479617870689</v>
      </c>
      <c r="AM49">
        <v>64883.682354135912</v>
      </c>
      <c r="AN49">
        <v>70416.399454100989</v>
      </c>
      <c r="AO49">
        <v>34538.731258834981</v>
      </c>
      <c r="AP49">
        <v>45464.24828969095</v>
      </c>
      <c r="AQ49">
        <v>49341.044655478545</v>
      </c>
      <c r="AR49">
        <v>78012.981431395936</v>
      </c>
      <c r="AS49">
        <v>102690.55719030689</v>
      </c>
      <c r="AT49">
        <v>111447.11633056561</v>
      </c>
    </row>
    <row r="50" spans="1:46" x14ac:dyDescent="0.25">
      <c r="A50" s="8">
        <v>44572</v>
      </c>
      <c r="B50">
        <v>1.3780747819859855E-2</v>
      </c>
      <c r="C50">
        <v>2.6354894920173681E-2</v>
      </c>
      <c r="D50">
        <v>2.0423875596291181E-2</v>
      </c>
      <c r="R50">
        <v>47</v>
      </c>
      <c r="S50">
        <v>303520.1781081392</v>
      </c>
      <c r="T50">
        <v>399531.66301989753</v>
      </c>
      <c r="U50">
        <v>433600.25444019889</v>
      </c>
      <c r="V50">
        <v>272425.98308562161</v>
      </c>
      <c r="W50">
        <v>358601.54916372645</v>
      </c>
      <c r="X50">
        <v>389179.97583660233</v>
      </c>
      <c r="Y50">
        <v>554078.53504793649</v>
      </c>
      <c r="Z50">
        <v>729348.27572636551</v>
      </c>
      <c r="AA50">
        <v>791540.76435419498</v>
      </c>
      <c r="AK50">
        <v>47</v>
      </c>
      <c r="AL50">
        <v>49824.375965723062</v>
      </c>
      <c r="AM50">
        <v>65585.147954880362</v>
      </c>
      <c r="AN50">
        <v>71177.679951032944</v>
      </c>
      <c r="AO50">
        <v>34912.133800003874</v>
      </c>
      <c r="AP50">
        <v>45955.767961229598</v>
      </c>
      <c r="AQ50">
        <v>49874.476857148395</v>
      </c>
      <c r="AR50">
        <v>78856.389525698571</v>
      </c>
      <c r="AS50">
        <v>103800.75764097058</v>
      </c>
      <c r="AT50">
        <v>112651.98503671224</v>
      </c>
    </row>
    <row r="51" spans="1:46" x14ac:dyDescent="0.25">
      <c r="A51" s="9">
        <v>44573</v>
      </c>
      <c r="B51">
        <v>9.3793920553458289E-3</v>
      </c>
      <c r="C51">
        <v>2.1998649461781577E-2</v>
      </c>
      <c r="D51">
        <v>1.6085102781266489E-2</v>
      </c>
      <c r="R51">
        <v>48</v>
      </c>
      <c r="S51">
        <v>306732.12129146571</v>
      </c>
      <c r="T51">
        <v>403759.62904692936</v>
      </c>
      <c r="U51">
        <v>438188.74470209389</v>
      </c>
      <c r="V51">
        <v>275308.87800478953</v>
      </c>
      <c r="W51">
        <v>362396.38023079437</v>
      </c>
      <c r="X51">
        <v>393298.39714969927</v>
      </c>
      <c r="Y51">
        <v>559941.96325481066</v>
      </c>
      <c r="Z51">
        <v>737066.46183541405</v>
      </c>
      <c r="AA51">
        <v>799917.0903640152</v>
      </c>
      <c r="AK51">
        <v>48</v>
      </c>
      <c r="AL51">
        <v>50351.632722569004</v>
      </c>
      <c r="AM51">
        <v>66279.190012361243</v>
      </c>
      <c r="AN51">
        <v>71930.903889384281</v>
      </c>
      <c r="AO51">
        <v>35281.584657845538</v>
      </c>
      <c r="AP51">
        <v>46442.085927164022</v>
      </c>
      <c r="AQ51">
        <v>50402.263796922191</v>
      </c>
      <c r="AR51">
        <v>79690.871912924122</v>
      </c>
      <c r="AS51">
        <v>104899.20894660421</v>
      </c>
      <c r="AT51">
        <v>113844.10273274875</v>
      </c>
    </row>
    <row r="52" spans="1:46" x14ac:dyDescent="0.25">
      <c r="A52" s="8">
        <v>44574</v>
      </c>
      <c r="B52">
        <v>5.1848631467531874E-3</v>
      </c>
      <c r="C52">
        <v>-2.6813359788773947E-4</v>
      </c>
      <c r="D52">
        <v>2.270346824738775E-3</v>
      </c>
      <c r="R52">
        <v>49</v>
      </c>
      <c r="S52">
        <v>309910.77739428222</v>
      </c>
      <c r="T52">
        <v>407943.77840675926</v>
      </c>
      <c r="U52">
        <v>442729.68199183169</v>
      </c>
      <c r="V52">
        <v>278161.89594612841</v>
      </c>
      <c r="W52">
        <v>366151.88343929144</v>
      </c>
      <c r="X52">
        <v>397374.1370658977</v>
      </c>
      <c r="Y52">
        <v>565744.6256275319</v>
      </c>
      <c r="Z52">
        <v>744704.66026481253</v>
      </c>
      <c r="AA52">
        <v>808206.60803933127</v>
      </c>
      <c r="AK52">
        <v>49</v>
      </c>
      <c r="AL52">
        <v>50873.425236396673</v>
      </c>
      <c r="AM52">
        <v>66966.039341787458</v>
      </c>
      <c r="AN52">
        <v>72676.321766280947</v>
      </c>
      <c r="AO52">
        <v>35647.20669937646</v>
      </c>
      <c r="AP52">
        <v>46923.363920607793</v>
      </c>
      <c r="AQ52">
        <v>50924.580999109225</v>
      </c>
      <c r="AR52">
        <v>80516.706114044791</v>
      </c>
      <c r="AS52">
        <v>105986.27641542631</v>
      </c>
      <c r="AT52">
        <v>115023.86587720684</v>
      </c>
    </row>
    <row r="53" spans="1:46" x14ac:dyDescent="0.25">
      <c r="A53" s="9">
        <v>44575</v>
      </c>
      <c r="B53">
        <v>-3.8786133700335887E-2</v>
      </c>
      <c r="C53">
        <v>-2.2603479613202537E-3</v>
      </c>
      <c r="D53">
        <v>-1.9313285670492147E-2</v>
      </c>
      <c r="R53">
        <v>50</v>
      </c>
      <c r="S53">
        <v>313057.16036898794</v>
      </c>
      <c r="T53">
        <v>412085.44579183107</v>
      </c>
      <c r="U53">
        <v>447224.51481283992</v>
      </c>
      <c r="V53">
        <v>280985.94698744884</v>
      </c>
      <c r="W53">
        <v>369869.25674878474</v>
      </c>
      <c r="X53">
        <v>401408.49569635547</v>
      </c>
      <c r="Y53">
        <v>571488.37314438925</v>
      </c>
      <c r="Z53">
        <v>752265.30750639003</v>
      </c>
      <c r="AA53">
        <v>816411.96163484186</v>
      </c>
      <c r="AK53">
        <v>50</v>
      </c>
      <c r="AL53">
        <v>51389.91995263275</v>
      </c>
      <c r="AM53">
        <v>67645.915039690051</v>
      </c>
      <c r="AN53">
        <v>73414.171360903929</v>
      </c>
      <c r="AO53">
        <v>36009.116553553744</v>
      </c>
      <c r="AP53">
        <v>47399.755463351357</v>
      </c>
      <c r="AQ53">
        <v>51441.595076505349</v>
      </c>
      <c r="AR53">
        <v>81334.155560064886</v>
      </c>
      <c r="AS53">
        <v>107062.30680865685</v>
      </c>
      <c r="AT53">
        <v>116191.6508000927</v>
      </c>
    </row>
    <row r="54" spans="1:46" x14ac:dyDescent="0.25">
      <c r="A54" s="8">
        <v>44579</v>
      </c>
      <c r="B54">
        <v>-4.5299949637605972E-3</v>
      </c>
      <c r="C54">
        <v>-2.5342668576579873E-2</v>
      </c>
      <c r="D54">
        <v>-1.5818715489512945E-2</v>
      </c>
      <c r="R54">
        <v>51</v>
      </c>
      <c r="S54">
        <v>316172.23371362023</v>
      </c>
      <c r="T54">
        <v>416185.8994801736</v>
      </c>
      <c r="U54">
        <v>451674.61959088605</v>
      </c>
      <c r="V54">
        <v>283781.89592100854</v>
      </c>
      <c r="W54">
        <v>373549.63850826636</v>
      </c>
      <c r="X54">
        <v>405402.70845858357</v>
      </c>
      <c r="Y54">
        <v>577174.96467882686</v>
      </c>
      <c r="Z54">
        <v>759750.71881192527</v>
      </c>
      <c r="AA54">
        <v>824535.66382689553</v>
      </c>
      <c r="AK54">
        <v>51</v>
      </c>
      <c r="AL54">
        <v>51901.275034364633</v>
      </c>
      <c r="AM54">
        <v>68319.025300337118</v>
      </c>
      <c r="AN54">
        <v>74144.678620520906</v>
      </c>
      <c r="AO54">
        <v>36367.425045867167</v>
      </c>
      <c r="AP54">
        <v>47871.406437927195</v>
      </c>
      <c r="AQ54">
        <v>51953.464351238814</v>
      </c>
      <c r="AR54">
        <v>82143.470573638479</v>
      </c>
      <c r="AS54">
        <v>108127.62963264657</v>
      </c>
      <c r="AT54">
        <v>117347.81510519782</v>
      </c>
    </row>
    <row r="55" spans="1:46" x14ac:dyDescent="0.25">
      <c r="A55" s="9">
        <v>44580</v>
      </c>
      <c r="B55">
        <v>-4.8445800852584875E-2</v>
      </c>
      <c r="C55">
        <v>-5.9212854593918347E-2</v>
      </c>
      <c r="D55">
        <v>-5.4229298727195521E-2</v>
      </c>
      <c r="R55">
        <v>52</v>
      </c>
      <c r="S55">
        <v>319256.91391828301</v>
      </c>
      <c r="T55">
        <v>420246.34587202565</v>
      </c>
      <c r="U55">
        <v>456081.30559754715</v>
      </c>
      <c r="V55">
        <v>286550.56534686987</v>
      </c>
      <c r="W55">
        <v>377194.11152802262</v>
      </c>
      <c r="X55">
        <v>409357.95049552841</v>
      </c>
      <c r="Y55">
        <v>582806.0732909271</v>
      </c>
      <c r="Z55">
        <v>767163.09647479176</v>
      </c>
      <c r="AA55">
        <v>832580.10470132437</v>
      </c>
      <c r="AK55">
        <v>52</v>
      </c>
      <c r="AL55">
        <v>52407.640928089117</v>
      </c>
      <c r="AM55">
        <v>68985.568160443843</v>
      </c>
      <c r="AN55">
        <v>74868.058468698742</v>
      </c>
      <c r="AO55">
        <v>36722.2375947615</v>
      </c>
      <c r="AP55">
        <v>48338.455609430952</v>
      </c>
      <c r="AQ55">
        <v>52460.339421087854</v>
      </c>
      <c r="AR55">
        <v>82944.889264472382</v>
      </c>
      <c r="AS55">
        <v>109182.55831751977</v>
      </c>
      <c r="AT55">
        <v>118492.69894924625</v>
      </c>
    </row>
    <row r="56" spans="1:46" x14ac:dyDescent="0.25">
      <c r="A56" s="8">
        <v>44581</v>
      </c>
      <c r="B56">
        <v>-9.8587111515406663E-3</v>
      </c>
      <c r="C56">
        <v>-2.8098856430918848E-2</v>
      </c>
      <c r="D56">
        <v>-1.9604735933508463E-2</v>
      </c>
      <c r="R56">
        <v>53</v>
      </c>
      <c r="S56">
        <v>322312.07361467532</v>
      </c>
      <c r="T56">
        <v>424267.93363564403</v>
      </c>
      <c r="U56">
        <v>460445.81944953609</v>
      </c>
      <c r="V56">
        <v>289292.73849977535</v>
      </c>
      <c r="W56">
        <v>380803.70680072473</v>
      </c>
      <c r="X56">
        <v>413275.34071396478</v>
      </c>
      <c r="Y56">
        <v>588383.29197689996</v>
      </c>
      <c r="Z56">
        <v>774504.53739816428</v>
      </c>
      <c r="AA56">
        <v>840547.55996699992</v>
      </c>
      <c r="AK56">
        <v>53</v>
      </c>
      <c r="AL56">
        <v>52909.160880723495</v>
      </c>
      <c r="AM56">
        <v>69645.732179727871</v>
      </c>
      <c r="AN56">
        <v>75584.51554389071</v>
      </c>
      <c r="AO56">
        <v>37073.654573908185</v>
      </c>
      <c r="AP56">
        <v>48801.035102389353</v>
      </c>
      <c r="AQ56">
        <v>52962.363677011694</v>
      </c>
      <c r="AR56">
        <v>83738.638347592947</v>
      </c>
      <c r="AS56">
        <v>110227.3912942805</v>
      </c>
      <c r="AT56">
        <v>119626.62621084705</v>
      </c>
    </row>
    <row r="57" spans="1:46" x14ac:dyDescent="0.25">
      <c r="A57" s="9">
        <v>44582</v>
      </c>
      <c r="B57">
        <v>8.1735769330710227E-4</v>
      </c>
      <c r="C57">
        <v>-3.3176311485653589E-3</v>
      </c>
      <c r="D57">
        <v>-1.3728961380352518E-3</v>
      </c>
      <c r="R57">
        <v>54</v>
      </c>
      <c r="S57">
        <v>325338.54445939505</v>
      </c>
      <c r="T57">
        <v>428251.75750267308</v>
      </c>
      <c r="U57">
        <v>464769.34922770719</v>
      </c>
      <c r="V57">
        <v>292009.1618370699</v>
      </c>
      <c r="W57">
        <v>384379.40690797981</v>
      </c>
      <c r="X57">
        <v>417155.94548152841</v>
      </c>
      <c r="Y57">
        <v>593908.13893257792</v>
      </c>
      <c r="Z57">
        <v>781777.04002349544</v>
      </c>
      <c r="AA57">
        <v>848440.19847511128</v>
      </c>
      <c r="AK57">
        <v>54</v>
      </c>
      <c r="AL57">
        <v>53405.971412914514</v>
      </c>
      <c r="AM57">
        <v>70299.697063938496</v>
      </c>
      <c r="AN57">
        <v>76294.244875592165</v>
      </c>
      <c r="AO57">
        <v>37421.771643854758</v>
      </c>
      <c r="AP57">
        <v>49259.270837319018</v>
      </c>
      <c r="AQ57">
        <v>53459.673776935364</v>
      </c>
      <c r="AR57">
        <v>84524.933892445857</v>
      </c>
      <c r="AS57">
        <v>111262.41298087261</v>
      </c>
      <c r="AT57">
        <v>120749.90556063692</v>
      </c>
    </row>
    <row r="58" spans="1:46" x14ac:dyDescent="0.25">
      <c r="A58" s="8">
        <v>44585</v>
      </c>
      <c r="B58">
        <v>-6.4370071061399123E-2</v>
      </c>
      <c r="C58">
        <v>-4.7596440717728304E-2</v>
      </c>
      <c r="D58">
        <v>-5.550258322981081E-2</v>
      </c>
      <c r="R58">
        <v>55</v>
      </c>
      <c r="S58">
        <v>328337.1197780167</v>
      </c>
      <c r="T58">
        <v>432198.86174861382</v>
      </c>
      <c r="U58">
        <v>469053.02825430949</v>
      </c>
      <c r="V58">
        <v>294700.54741190554</v>
      </c>
      <c r="W58">
        <v>387922.14914424298</v>
      </c>
      <c r="X58">
        <v>421000.78201700788</v>
      </c>
      <c r="Y58">
        <v>599382.0623802006</v>
      </c>
      <c r="Z58">
        <v>788982.51068414166</v>
      </c>
      <c r="AA58">
        <v>856260.08911457227</v>
      </c>
      <c r="AK58">
        <v>55</v>
      </c>
      <c r="AL58">
        <v>53898.202753077043</v>
      </c>
      <c r="AM58">
        <v>70947.634236193247</v>
      </c>
      <c r="AN58">
        <v>76997.43250439578</v>
      </c>
      <c r="AO58">
        <v>37766.680056157435</v>
      </c>
      <c r="AP58">
        <v>49713.282931064387</v>
      </c>
      <c r="AQ58">
        <v>53952.400080224907</v>
      </c>
      <c r="AR58">
        <v>85303.982009843588</v>
      </c>
      <c r="AS58">
        <v>112287.89468642676</v>
      </c>
      <c r="AT58">
        <v>121862.83144263369</v>
      </c>
    </row>
    <row r="59" spans="1:46" x14ac:dyDescent="0.25">
      <c r="A59" s="9">
        <v>44586</v>
      </c>
      <c r="B59">
        <v>1.6505388426568554E-2</v>
      </c>
      <c r="C59">
        <v>2.5237152423740576E-2</v>
      </c>
      <c r="D59">
        <v>2.1160131964831873E-2</v>
      </c>
      <c r="R59">
        <v>56</v>
      </c>
      <c r="S59">
        <v>331308.55699376302</v>
      </c>
      <c r="T59">
        <v>436110.24338974926</v>
      </c>
      <c r="U59">
        <v>473297.93856251857</v>
      </c>
      <c r="V59">
        <v>297367.57505310734</v>
      </c>
      <c r="W59">
        <v>391432.82838623313</v>
      </c>
      <c r="X59">
        <v>424810.82150443905</v>
      </c>
      <c r="Y59">
        <v>604806.44500197517</v>
      </c>
      <c r="Z59">
        <v>796122.76944137551</v>
      </c>
      <c r="AA59">
        <v>864009.20714567869</v>
      </c>
      <c r="AK59">
        <v>56</v>
      </c>
      <c r="AL59">
        <v>54385.979236072984</v>
      </c>
      <c r="AM59">
        <v>71589.707361769542</v>
      </c>
      <c r="AN59">
        <v>77694.256051532822</v>
      </c>
      <c r="AO59">
        <v>38108.466932736985</v>
      </c>
      <c r="AP59">
        <v>50163.186064521135</v>
      </c>
      <c r="AQ59">
        <v>54440.667046767121</v>
      </c>
      <c r="AR59">
        <v>86075.979482949202</v>
      </c>
      <c r="AS59">
        <v>113304.0954418413</v>
      </c>
      <c r="AT59">
        <v>122965.68497564172</v>
      </c>
    </row>
    <row r="60" spans="1:46" x14ac:dyDescent="0.25">
      <c r="A60" s="8">
        <v>44587</v>
      </c>
      <c r="B60">
        <v>-4.2544916040050826E-2</v>
      </c>
      <c r="C60">
        <v>-5.8130740207436554E-2</v>
      </c>
      <c r="D60">
        <v>-5.0886605651342946E-2</v>
      </c>
      <c r="R60">
        <v>57</v>
      </c>
      <c r="S60">
        <v>334253.57986183994</v>
      </c>
      <c r="T60">
        <v>439986.85512425873</v>
      </c>
      <c r="U60">
        <v>477505.11408834276</v>
      </c>
      <c r="V60">
        <v>300010.89437061135</v>
      </c>
      <c r="W60">
        <v>394912.29973274353</v>
      </c>
      <c r="X60">
        <v>428586.99195801618</v>
      </c>
      <c r="Y60">
        <v>610182.6080188714</v>
      </c>
      <c r="Z60">
        <v>803199.55545341235</v>
      </c>
      <c r="AA60">
        <v>871689.44002695906</v>
      </c>
      <c r="AK60">
        <v>57</v>
      </c>
      <c r="AL60">
        <v>54869.419669988507</v>
      </c>
      <c r="AM60">
        <v>72226.072830903242</v>
      </c>
      <c r="AN60">
        <v>78384.885242840726</v>
      </c>
      <c r="AO60">
        <v>38447.215522880942</v>
      </c>
      <c r="AP60">
        <v>50609.089820935114</v>
      </c>
      <c r="AQ60">
        <v>54924.593604115624</v>
      </c>
      <c r="AR60">
        <v>86841.114347770039</v>
      </c>
      <c r="AS60">
        <v>114311.26276390138</v>
      </c>
      <c r="AT60">
        <v>124058.73478252863</v>
      </c>
    </row>
    <row r="61" spans="1:46" x14ac:dyDescent="0.25">
      <c r="A61" s="9">
        <v>44588</v>
      </c>
      <c r="B61">
        <v>-7.3379697132006623E-3</v>
      </c>
      <c r="C61">
        <v>6.5337969696861427E-3</v>
      </c>
      <c r="D61">
        <v>2.967287434187107E-5</v>
      </c>
      <c r="R61">
        <v>58</v>
      </c>
      <c r="S61">
        <v>337172.88052810729</v>
      </c>
      <c r="T61">
        <v>443829.60804210039</v>
      </c>
      <c r="U61">
        <v>481675.54361158179</v>
      </c>
      <c r="V61">
        <v>302631.12660323421</v>
      </c>
      <c r="W61">
        <v>398361.3809369104</v>
      </c>
      <c r="X61">
        <v>432330.18086176319</v>
      </c>
      <c r="Y61">
        <v>615511.81494874333</v>
      </c>
      <c r="Z61">
        <v>810214.53192232538</v>
      </c>
      <c r="AA61">
        <v>879302.59278391895</v>
      </c>
      <c r="AK61">
        <v>58</v>
      </c>
      <c r="AL61">
        <v>55348.637674075435</v>
      </c>
      <c r="AM61">
        <v>72856.880203629902</v>
      </c>
      <c r="AN61">
        <v>79069.482391536323</v>
      </c>
      <c r="AO61">
        <v>38783.005440040433</v>
      </c>
      <c r="AP61">
        <v>51051.09899760424</v>
      </c>
      <c r="AQ61">
        <v>55404.293485772039</v>
      </c>
      <c r="AR61">
        <v>87599.566428012928</v>
      </c>
      <c r="AS61">
        <v>115309.63335932314</v>
      </c>
      <c r="AT61">
        <v>125142.23775430417</v>
      </c>
    </row>
    <row r="62" spans="1:46" x14ac:dyDescent="0.25">
      <c r="A62" s="8">
        <v>44589</v>
      </c>
      <c r="B62">
        <v>-1.4620114989733089E-2</v>
      </c>
      <c r="C62">
        <v>-2.0127949840565349E-2</v>
      </c>
      <c r="D62">
        <v>-1.7564490244890967E-2</v>
      </c>
      <c r="R62">
        <v>59</v>
      </c>
      <c r="S62">
        <v>340067.12142867787</v>
      </c>
      <c r="T62">
        <v>447639.37412550458</v>
      </c>
      <c r="U62">
        <v>485810.17346953985</v>
      </c>
      <c r="V62">
        <v>305228.86632366775</v>
      </c>
      <c r="W62">
        <v>401780.8546505422</v>
      </c>
      <c r="X62">
        <v>436041.23760523961</v>
      </c>
      <c r="Y62">
        <v>620795.27507406205</v>
      </c>
      <c r="Z62">
        <v>817169.29065871437</v>
      </c>
      <c r="AA62">
        <v>886850.39296294574</v>
      </c>
      <c r="AK62">
        <v>59</v>
      </c>
      <c r="AL62">
        <v>55823.741990579969</v>
      </c>
      <c r="AM62">
        <v>73482.272620253221</v>
      </c>
      <c r="AN62">
        <v>79748.202843685664</v>
      </c>
      <c r="AO62">
        <v>39115.912880329837</v>
      </c>
      <c r="AP62">
        <v>51489.313893495397</v>
      </c>
      <c r="AQ62">
        <v>55879.875543328337</v>
      </c>
      <c r="AR62">
        <v>88351.507828611633</v>
      </c>
      <c r="AS62">
        <v>116299.43377439695</v>
      </c>
      <c r="AT62">
        <v>126216.43975515946</v>
      </c>
    </row>
    <row r="63" spans="1:46" x14ac:dyDescent="0.25">
      <c r="A63" s="9">
        <v>44592</v>
      </c>
      <c r="B63">
        <v>3.2424772589607638E-2</v>
      </c>
      <c r="C63">
        <v>1.0723476908472317E-2</v>
      </c>
      <c r="D63">
        <v>2.0853976708144734E-2</v>
      </c>
      <c r="R63">
        <v>60</v>
      </c>
      <c r="S63">
        <v>342936.937045214</v>
      </c>
      <c r="T63">
        <v>451416.98855951644</v>
      </c>
      <c r="U63">
        <v>489909.91006459144</v>
      </c>
      <c r="V63">
        <v>307804.68301395309</v>
      </c>
      <c r="W63">
        <v>405171.47049795865</v>
      </c>
      <c r="X63">
        <v>439720.97573421866</v>
      </c>
      <c r="Y63">
        <v>626034.14664622315</v>
      </c>
      <c r="Z63">
        <v>824065.35629962035</v>
      </c>
      <c r="AA63">
        <v>894334.49520889018</v>
      </c>
      <c r="AK63">
        <v>60</v>
      </c>
      <c r="AL63">
        <v>56294.836772883551</v>
      </c>
      <c r="AM63">
        <v>74102.387180632431</v>
      </c>
      <c r="AN63">
        <v>80421.195389833651</v>
      </c>
      <c r="AO63">
        <v>39446.010824428136</v>
      </c>
      <c r="AP63">
        <v>51923.830575012551</v>
      </c>
      <c r="AQ63">
        <v>56351.444034897337</v>
      </c>
      <c r="AR63">
        <v>89097.103391763536</v>
      </c>
      <c r="AS63">
        <v>117280.88099528058</v>
      </c>
      <c r="AT63">
        <v>127281.5762739479</v>
      </c>
    </row>
    <row r="64" spans="1:46" x14ac:dyDescent="0.25">
      <c r="A64" s="8">
        <v>44593</v>
      </c>
      <c r="B64">
        <v>0.13410301845548991</v>
      </c>
      <c r="C64">
        <v>0.12330830922262379</v>
      </c>
      <c r="D64">
        <v>0.12840456185116231</v>
      </c>
      <c r="R64">
        <v>61</v>
      </c>
      <c r="S64">
        <v>345782.93552909599</v>
      </c>
      <c r="T64">
        <v>455163.25186993252</v>
      </c>
      <c r="U64">
        <v>493975.6221844228</v>
      </c>
      <c r="V64">
        <v>310359.12252326141</v>
      </c>
      <c r="W64">
        <v>408533.9469949053</v>
      </c>
      <c r="X64">
        <v>443370.17503323051</v>
      </c>
      <c r="Y64">
        <v>631229.53985048039</v>
      </c>
      <c r="Z64">
        <v>830904.19021134661</v>
      </c>
      <c r="AA64">
        <v>901756.48550068622</v>
      </c>
      <c r="AK64">
        <v>61</v>
      </c>
      <c r="AL64">
        <v>56762.021852118356</v>
      </c>
      <c r="AM64">
        <v>74717.355295135392</v>
      </c>
      <c r="AN64">
        <v>81088.602645883366</v>
      </c>
      <c r="AO64">
        <v>39773.369224397502</v>
      </c>
      <c r="AP64">
        <v>52354.741121911</v>
      </c>
      <c r="AQ64">
        <v>56819.098891996429</v>
      </c>
      <c r="AR64">
        <v>89836.511118898503</v>
      </c>
      <c r="AS64">
        <v>118254.18300344804</v>
      </c>
      <c r="AT64">
        <v>128337.87302699787</v>
      </c>
    </row>
    <row r="65" spans="1:46" x14ac:dyDescent="0.25">
      <c r="A65" s="9">
        <v>44594</v>
      </c>
      <c r="B65">
        <v>1.5661685657708483E-2</v>
      </c>
      <c r="C65">
        <v>1.6833158354323086E-2</v>
      </c>
      <c r="D65">
        <v>1.6277305495129565E-2</v>
      </c>
      <c r="R65">
        <v>62</v>
      </c>
      <c r="S65">
        <v>348605.70020624279</v>
      </c>
      <c r="T65">
        <v>458878.93190413597</v>
      </c>
      <c r="U65">
        <v>498008.14315177541</v>
      </c>
      <c r="V65">
        <v>312892.70841855271</v>
      </c>
      <c r="W65">
        <v>411868.97332646226</v>
      </c>
      <c r="X65">
        <v>446989.58345507528</v>
      </c>
      <c r="Y65">
        <v>636382.51955300721</v>
      </c>
      <c r="Z65">
        <v>837687.19410548918</v>
      </c>
      <c r="AA65">
        <v>909117.88507572457</v>
      </c>
      <c r="AK65">
        <v>62</v>
      </c>
      <c r="AL65">
        <v>57225.392984191218</v>
      </c>
      <c r="AM65">
        <v>75327.303009802738</v>
      </c>
      <c r="AN65">
        <v>81750.56140598745</v>
      </c>
      <c r="AO65">
        <v>40098.055176773836</v>
      </c>
      <c r="AP65">
        <v>52782.133855141066</v>
      </c>
      <c r="AQ65">
        <v>57282.935966819758</v>
      </c>
      <c r="AR65">
        <v>90569.882561640508</v>
      </c>
      <c r="AS65">
        <v>119219.53929032272</v>
      </c>
      <c r="AT65">
        <v>129385.54651662929</v>
      </c>
    </row>
    <row r="66" spans="1:46" x14ac:dyDescent="0.25">
      <c r="A66" s="8">
        <v>44595</v>
      </c>
      <c r="B66">
        <v>-2.2149036547964268E-2</v>
      </c>
      <c r="C66">
        <v>-1.6224221049815794E-2</v>
      </c>
      <c r="D66">
        <v>-1.9033787743428621E-2</v>
      </c>
      <c r="R66">
        <v>63</v>
      </c>
      <c r="S66">
        <v>351405.79097312945</v>
      </c>
      <c r="T66">
        <v>462564.76566871128</v>
      </c>
      <c r="U66">
        <v>502008.27281875635</v>
      </c>
      <c r="V66">
        <v>315405.94323757774</v>
      </c>
      <c r="W66">
        <v>415177.21099640336</v>
      </c>
      <c r="X66">
        <v>450579.91891082533</v>
      </c>
      <c r="Y66">
        <v>641494.10784933798</v>
      </c>
      <c r="Z66">
        <v>844415.71339351637</v>
      </c>
      <c r="AA66">
        <v>916420.15407048282</v>
      </c>
      <c r="AK66">
        <v>63</v>
      </c>
      <c r="AL66">
        <v>57685.042078946964</v>
      </c>
      <c r="AM66">
        <v>75932.351308001627</v>
      </c>
      <c r="AN66">
        <v>82407.202969924241</v>
      </c>
      <c r="AO66">
        <v>40420.133083142457</v>
      </c>
      <c r="AP66">
        <v>53206.09354821813</v>
      </c>
      <c r="AQ66">
        <v>57743.047261632077</v>
      </c>
      <c r="AR66">
        <v>91297.363184501301</v>
      </c>
      <c r="AS66">
        <v>120177.14133470069</v>
      </c>
      <c r="AT66">
        <v>130424.80454928755</v>
      </c>
    </row>
    <row r="67" spans="1:46" x14ac:dyDescent="0.25">
      <c r="A67" s="9">
        <v>44596</v>
      </c>
      <c r="B67">
        <v>-4.7308373855221034E-2</v>
      </c>
      <c r="C67">
        <v>-2.9794401639180877E-2</v>
      </c>
      <c r="D67">
        <v>-3.8073209253625818E-2</v>
      </c>
      <c r="R67">
        <v>64</v>
      </c>
      <c r="S67">
        <v>354183.7455934654</v>
      </c>
      <c r="T67">
        <v>466221.46103629627</v>
      </c>
      <c r="U67">
        <v>505976.77941923623</v>
      </c>
      <c r="V67">
        <v>317899.30965271813</v>
      </c>
      <c r="W67">
        <v>418459.29535919026</v>
      </c>
      <c r="X67">
        <v>454141.87093245448</v>
      </c>
      <c r="Y67">
        <v>646565.28643146507</v>
      </c>
      <c r="Z67">
        <v>851091.04030264285</v>
      </c>
      <c r="AA67">
        <v>923664.69490209292</v>
      </c>
      <c r="AK67">
        <v>64</v>
      </c>
      <c r="AL67">
        <v>58141.057413024762</v>
      </c>
      <c r="AM67">
        <v>76532.616390614232</v>
      </c>
      <c r="AN67">
        <v>83058.653447178236</v>
      </c>
      <c r="AO67">
        <v>40739.664799287384</v>
      </c>
      <c r="AP67">
        <v>53626.701623551759</v>
      </c>
      <c r="AQ67">
        <v>58199.521141839112</v>
      </c>
      <c r="AR67">
        <v>92019.092701765476</v>
      </c>
      <c r="AS67">
        <v>121127.1730462015</v>
      </c>
      <c r="AT67">
        <v>131455.84671680781</v>
      </c>
    </row>
    <row r="68" spans="1:46" x14ac:dyDescent="0.25">
      <c r="A68" s="8">
        <v>44599</v>
      </c>
      <c r="B68">
        <v>6.259868895948581E-2</v>
      </c>
      <c r="C68">
        <v>3.0536323925644374E-2</v>
      </c>
      <c r="D68">
        <v>4.5546611604037432E-2</v>
      </c>
      <c r="R68">
        <v>65</v>
      </c>
      <c r="S68">
        <v>356940.08090403979</v>
      </c>
      <c r="T68">
        <v>469849.69833286875</v>
      </c>
      <c r="U68">
        <v>509914.40129148541</v>
      </c>
      <c r="V68">
        <v>320373.27155329834</v>
      </c>
      <c r="W68">
        <v>421715.83704464784</v>
      </c>
      <c r="X68">
        <v>457676.10221899766</v>
      </c>
      <c r="Y68">
        <v>651596.99878911872</v>
      </c>
      <c r="Z68">
        <v>857714.41677343182</v>
      </c>
      <c r="AA68">
        <v>930852.85541302676</v>
      </c>
      <c r="AK68">
        <v>65</v>
      </c>
      <c r="AL68">
        <v>58593.523827803714</v>
      </c>
      <c r="AM68">
        <v>77128.209936598767</v>
      </c>
      <c r="AN68">
        <v>83705.034039719583</v>
      </c>
      <c r="AO68">
        <v>41056.709773892544</v>
      </c>
      <c r="AP68">
        <v>54044.036335021825</v>
      </c>
      <c r="AQ68">
        <v>58652.442534132206</v>
      </c>
      <c r="AR68">
        <v>92735.205390776391</v>
      </c>
      <c r="AS68">
        <v>122069.81117765464</v>
      </c>
      <c r="AT68">
        <v>132478.86484396626</v>
      </c>
    </row>
    <row r="69" spans="1:46" x14ac:dyDescent="0.25">
      <c r="A69" s="9">
        <v>44600</v>
      </c>
      <c r="B69">
        <v>-3.2570417972680515E-3</v>
      </c>
      <c r="C69">
        <v>1.1374154523926658E-2</v>
      </c>
      <c r="D69">
        <v>4.4127130548531927E-3</v>
      </c>
      <c r="R69">
        <v>66</v>
      </c>
      <c r="S69">
        <v>359675.29393739067</v>
      </c>
      <c r="T69">
        <v>473450.13181554491</v>
      </c>
      <c r="U69">
        <v>513821.84848198667</v>
      </c>
      <c r="V69">
        <v>322828.27505324269</v>
      </c>
      <c r="W69">
        <v>424947.42328437051</v>
      </c>
      <c r="X69">
        <v>461183.250076061</v>
      </c>
      <c r="Y69">
        <v>656590.15225920908</v>
      </c>
      <c r="Z69">
        <v>864287.03715753031</v>
      </c>
      <c r="AA69">
        <v>937985.93179886998</v>
      </c>
      <c r="AK69">
        <v>66</v>
      </c>
      <c r="AL69">
        <v>59042.522913694687</v>
      </c>
      <c r="AM69">
        <v>77719.239345577706</v>
      </c>
      <c r="AN69">
        <v>84346.461305278121</v>
      </c>
      <c r="AO69">
        <v>41371.325177675812</v>
      </c>
      <c r="AP69">
        <v>54458.172937961019</v>
      </c>
      <c r="AQ69">
        <v>59101.893110965437</v>
      </c>
      <c r="AR69">
        <v>93445.830383612411</v>
      </c>
      <c r="AS69">
        <v>123005.22570904084</v>
      </c>
      <c r="AT69">
        <v>133494.04340516057</v>
      </c>
    </row>
    <row r="70" spans="1:46" x14ac:dyDescent="0.25">
      <c r="A70" s="8">
        <v>44601</v>
      </c>
      <c r="B70">
        <v>2.6497093798477124E-2</v>
      </c>
      <c r="C70">
        <v>3.2120205701455733E-2</v>
      </c>
      <c r="D70">
        <v>2.9465190330752618E-2</v>
      </c>
      <c r="R70">
        <v>67</v>
      </c>
      <c r="S70">
        <v>362389.86296820483</v>
      </c>
      <c r="T70">
        <v>477023.39104998391</v>
      </c>
      <c r="U70">
        <v>517699.80424029258</v>
      </c>
      <c r="V70">
        <v>325264.74943027692</v>
      </c>
      <c r="W70">
        <v>428154.61914801755</v>
      </c>
      <c r="X70">
        <v>464663.92775753839</v>
      </c>
      <c r="Y70">
        <v>661545.61993603711</v>
      </c>
      <c r="Z70">
        <v>870810.05073213053</v>
      </c>
      <c r="AA70">
        <v>945065.17133719579</v>
      </c>
      <c r="AK70">
        <v>67</v>
      </c>
      <c r="AL70">
        <v>59488.133181912192</v>
      </c>
      <c r="AM70">
        <v>78305.807963945641</v>
      </c>
      <c r="AN70">
        <v>84983.047402731696</v>
      </c>
      <c r="AO70">
        <v>41683.566023750187</v>
      </c>
      <c r="AP70">
        <v>54869.183847589527</v>
      </c>
      <c r="AQ70">
        <v>59547.951462500263</v>
      </c>
      <c r="AR70">
        <v>94151.091938947997</v>
      </c>
      <c r="AS70">
        <v>123933.58020534992</v>
      </c>
      <c r="AT70">
        <v>134501.55991278283</v>
      </c>
    </row>
    <row r="71" spans="1:46" x14ac:dyDescent="0.25">
      <c r="A71" s="9">
        <v>44602</v>
      </c>
      <c r="B71">
        <v>0.12034601384083038</v>
      </c>
      <c r="C71">
        <v>6.9438315765074948E-2</v>
      </c>
      <c r="D71">
        <v>9.3405655445139221E-2</v>
      </c>
      <c r="R71">
        <v>68</v>
      </c>
      <c r="S71">
        <v>365084.24848968786</v>
      </c>
      <c r="T71">
        <v>480570.08219560952</v>
      </c>
      <c r="U71">
        <v>521548.92641383974</v>
      </c>
      <c r="V71">
        <v>327683.10800227319</v>
      </c>
      <c r="W71">
        <v>431337.96869686985</v>
      </c>
      <c r="X71">
        <v>468118.72571753309</v>
      </c>
      <c r="Y71">
        <v>666464.24245366687</v>
      </c>
      <c r="Z71">
        <v>877284.56404615345</v>
      </c>
      <c r="AA71">
        <v>952091.77493380988</v>
      </c>
      <c r="AK71">
        <v>68</v>
      </c>
      <c r="AL71">
        <v>59930.430224750453</v>
      </c>
      <c r="AM71">
        <v>78888.015295844976</v>
      </c>
      <c r="AN71">
        <v>85614.900321072069</v>
      </c>
      <c r="AO71">
        <v>41993.485279929897</v>
      </c>
      <c r="AP71">
        <v>55277.138786846503</v>
      </c>
      <c r="AQ71">
        <v>59990.693257042709</v>
      </c>
      <c r="AR71">
        <v>94851.109695720559</v>
      </c>
      <c r="AS71">
        <v>124855.03215048931</v>
      </c>
      <c r="AT71">
        <v>135501.58527960078</v>
      </c>
    </row>
    <row r="72" spans="1:46" x14ac:dyDescent="0.25">
      <c r="A72" s="8">
        <v>44603</v>
      </c>
      <c r="B72">
        <v>-4.4783495242346628E-2</v>
      </c>
      <c r="C72">
        <v>-5.5643692713434412E-3</v>
      </c>
      <c r="D72">
        <v>-2.4483672571814587E-2</v>
      </c>
      <c r="R72">
        <v>69</v>
      </c>
      <c r="S72">
        <v>367758.89412554802</v>
      </c>
      <c r="T72">
        <v>484090.78920607851</v>
      </c>
      <c r="U72">
        <v>525369.8487507829</v>
      </c>
      <c r="V72">
        <v>330083.74894580635</v>
      </c>
      <c r="W72">
        <v>434497.99606131657</v>
      </c>
      <c r="X72">
        <v>471548.21277972334</v>
      </c>
      <c r="Y72">
        <v>671346.82965075853</v>
      </c>
      <c r="Z72">
        <v>883711.64311171276</v>
      </c>
      <c r="AA72">
        <v>959066.89950108354</v>
      </c>
      <c r="AK72">
        <v>69</v>
      </c>
      <c r="AL72">
        <v>60369.486865290171</v>
      </c>
      <c r="AM72">
        <v>79465.957200228906</v>
      </c>
      <c r="AN72">
        <v>86242.124093271676</v>
      </c>
      <c r="AO72">
        <v>42301.133973630509</v>
      </c>
      <c r="AP72">
        <v>55682.104924472813</v>
      </c>
      <c r="AQ72">
        <v>60430.19139090072</v>
      </c>
      <c r="AR72">
        <v>95545.998910069437</v>
      </c>
      <c r="AS72">
        <v>125769.73325917304</v>
      </c>
      <c r="AT72">
        <v>136494.28415724204</v>
      </c>
    </row>
    <row r="73" spans="1:46" x14ac:dyDescent="0.25">
      <c r="A73" s="9">
        <v>44606</v>
      </c>
      <c r="B73">
        <v>-5.7876338967125816E-2</v>
      </c>
      <c r="C73">
        <v>-5.4480166351606754E-2</v>
      </c>
      <c r="D73">
        <v>-5.6084387582478683E-2</v>
      </c>
      <c r="R73">
        <v>70</v>
      </c>
      <c r="S73">
        <v>370414.22748270875</v>
      </c>
      <c r="T73">
        <v>487586.07495172886</v>
      </c>
      <c r="U73">
        <v>529163.1821181553</v>
      </c>
      <c r="V73">
        <v>332467.05606150936</v>
      </c>
      <c r="W73">
        <v>437635.20644831331</v>
      </c>
      <c r="X73">
        <v>474952.93723072758</v>
      </c>
      <c r="Y73">
        <v>676194.16212720214</v>
      </c>
      <c r="Z73">
        <v>890092.3154531538</v>
      </c>
      <c r="AA73">
        <v>965991.66018171725</v>
      </c>
      <c r="AK73">
        <v>70</v>
      </c>
      <c r="AL73">
        <v>60805.373297375634</v>
      </c>
      <c r="AM73">
        <v>80039.726075116909</v>
      </c>
      <c r="AN73">
        <v>86864.818996250906</v>
      </c>
      <c r="AO73">
        <v>42606.561289951409</v>
      </c>
      <c r="AP73">
        <v>56084.14700411971</v>
      </c>
      <c r="AQ73">
        <v>60866.516128502008</v>
      </c>
      <c r="AR73">
        <v>96235.870676875813</v>
      </c>
      <c r="AS73">
        <v>126677.82976854063</v>
      </c>
      <c r="AT73">
        <v>137479.81525267975</v>
      </c>
    </row>
    <row r="74" spans="1:46" x14ac:dyDescent="0.25">
      <c r="A74" s="8">
        <v>44607</v>
      </c>
      <c r="B74">
        <v>-1.2080506389175537E-2</v>
      </c>
      <c r="C74">
        <v>-3.4787277136827861E-3</v>
      </c>
      <c r="D74">
        <v>-7.5341633156404643E-3</v>
      </c>
      <c r="R74">
        <v>71</v>
      </c>
      <c r="S74">
        <v>373050.66094939143</v>
      </c>
      <c r="T74">
        <v>491056.48227011733</v>
      </c>
      <c r="U74">
        <v>532929.51564198779</v>
      </c>
      <c r="V74">
        <v>334833.39949039655</v>
      </c>
      <c r="W74">
        <v>440750.0870842975</v>
      </c>
      <c r="X74">
        <v>478333.42784342362</v>
      </c>
      <c r="Y74">
        <v>681006.99270102452</v>
      </c>
      <c r="Z74">
        <v>896427.57202481804</v>
      </c>
      <c r="AA74">
        <v>972867.13243003504</v>
      </c>
      <c r="AK74">
        <v>71</v>
      </c>
      <c r="AL74">
        <v>61238.157216624037</v>
      </c>
      <c r="AM74">
        <v>80609.411030045929</v>
      </c>
      <c r="AN74">
        <v>87483.081738034336</v>
      </c>
      <c r="AO74">
        <v>42909.814663474535</v>
      </c>
      <c r="AP74">
        <v>56483.327465185874</v>
      </c>
      <c r="AQ74">
        <v>61299.735233535052</v>
      </c>
      <c r="AR74">
        <v>96920.832137109435</v>
      </c>
      <c r="AS74">
        <v>127579.46271109303</v>
      </c>
      <c r="AT74">
        <v>138458.33162444204</v>
      </c>
    </row>
    <row r="75" spans="1:46" x14ac:dyDescent="0.25">
      <c r="A75" s="9">
        <v>44608</v>
      </c>
      <c r="B75">
        <v>7.1979437948003058E-2</v>
      </c>
      <c r="C75">
        <v>5.1922008458703192E-2</v>
      </c>
      <c r="D75">
        <v>6.1335061557504698E-2</v>
      </c>
      <c r="R75">
        <v>72</v>
      </c>
      <c r="S75">
        <v>375668.59244278545</v>
      </c>
      <c r="T75">
        <v>494502.53495019721</v>
      </c>
      <c r="U75">
        <v>536669.41777540778</v>
      </c>
      <c r="V75">
        <v>337183.13638493861</v>
      </c>
      <c r="W75">
        <v>443843.10809854168</v>
      </c>
      <c r="X75">
        <v>481690.19483562658</v>
      </c>
      <c r="Y75">
        <v>685786.04777326703</v>
      </c>
      <c r="Z75">
        <v>902718.36900766788</v>
      </c>
      <c r="AA75">
        <v>979694.35396181</v>
      </c>
      <c r="AK75">
        <v>72</v>
      </c>
      <c r="AL75">
        <v>61667.903943159297</v>
      </c>
      <c r="AM75">
        <v>81175.098047628053</v>
      </c>
      <c r="AN75">
        <v>88097.0056330847</v>
      </c>
      <c r="AO75">
        <v>43210.939864264488</v>
      </c>
      <c r="AP75">
        <v>56879.706556021622</v>
      </c>
      <c r="AQ75">
        <v>61729.914091806408</v>
      </c>
      <c r="AR75">
        <v>97600.986672077852</v>
      </c>
      <c r="AS75">
        <v>128474.76817038821</v>
      </c>
      <c r="AT75">
        <v>139429.98096011122</v>
      </c>
    </row>
    <row r="76" spans="1:46" x14ac:dyDescent="0.25">
      <c r="A76" s="8">
        <v>44609</v>
      </c>
      <c r="B76">
        <v>-1.6850995644286926E-3</v>
      </c>
      <c r="C76">
        <v>1.7393946179524812E-2</v>
      </c>
      <c r="D76">
        <v>8.3502528467736467E-3</v>
      </c>
      <c r="R76">
        <v>73</v>
      </c>
      <c r="S76">
        <v>378268.40611014498</v>
      </c>
      <c r="T76">
        <v>497924.73865519086</v>
      </c>
      <c r="U76">
        <v>540383.43730020709</v>
      </c>
      <c r="V76">
        <v>339516.61153833516</v>
      </c>
      <c r="W76">
        <v>446914.72335148201</v>
      </c>
      <c r="X76">
        <v>485023.73076905019</v>
      </c>
      <c r="Y76">
        <v>690532.0286078424</v>
      </c>
      <c r="Z76">
        <v>908965.62949399662</v>
      </c>
      <c r="AA76">
        <v>986474.32658263191</v>
      </c>
      <c r="AK76">
        <v>73</v>
      </c>
      <c r="AL76">
        <v>62094.676536700645</v>
      </c>
      <c r="AM76">
        <v>81736.870135044723</v>
      </c>
      <c r="AN76">
        <v>88706.680766715202</v>
      </c>
      <c r="AO76">
        <v>43509.981078511519</v>
      </c>
      <c r="AP76">
        <v>57273.342440081491</v>
      </c>
      <c r="AQ76">
        <v>62157.115826445028</v>
      </c>
      <c r="AR76">
        <v>98276.434085575645</v>
      </c>
      <c r="AS76">
        <v>129363.87752080876</v>
      </c>
      <c r="AT76">
        <v>140394.90583653664</v>
      </c>
    </row>
    <row r="77" spans="1:46" x14ac:dyDescent="0.25">
      <c r="A77" s="9">
        <v>44610</v>
      </c>
      <c r="B77">
        <v>-3.6746114631864765E-2</v>
      </c>
      <c r="C77">
        <v>-1.2972371727008212E-2</v>
      </c>
      <c r="D77">
        <v>-2.4129254797645775E-2</v>
      </c>
      <c r="R77">
        <v>74</v>
      </c>
      <c r="S77">
        <v>380850.4729868081</v>
      </c>
      <c r="T77">
        <v>501323.58178875764</v>
      </c>
      <c r="U77">
        <v>544072.10426686867</v>
      </c>
      <c r="V77">
        <v>341834.15797512315</v>
      </c>
      <c r="W77">
        <v>449965.37121215195</v>
      </c>
      <c r="X77">
        <v>488334.51139303308</v>
      </c>
      <c r="Y77">
        <v>695245.61253275559</v>
      </c>
      <c r="Z77">
        <v>915170.24506862729</v>
      </c>
      <c r="AA77">
        <v>993208.01790393644</v>
      </c>
      <c r="AK77">
        <v>74</v>
      </c>
      <c r="AL77">
        <v>62518.535904579869</v>
      </c>
      <c r="AM77">
        <v>82294.807466232684</v>
      </c>
      <c r="AN77">
        <v>89312.194149399802</v>
      </c>
      <c r="AO77">
        <v>43806.980984219619</v>
      </c>
      <c r="AP77">
        <v>57664.291295554402</v>
      </c>
      <c r="AQ77">
        <v>62581.401406028024</v>
      </c>
      <c r="AR77">
        <v>98947.270774841862</v>
      </c>
      <c r="AS77">
        <v>130246.91765259797</v>
      </c>
      <c r="AT77">
        <v>141353.2439640598</v>
      </c>
    </row>
    <row r="78" spans="1:46" x14ac:dyDescent="0.25">
      <c r="A78" s="8">
        <v>44614</v>
      </c>
      <c r="B78">
        <v>-5.4053981736671093E-2</v>
      </c>
      <c r="C78">
        <v>-2.0322137038587849E-2</v>
      </c>
      <c r="D78">
        <v>-3.5947635571012305E-2</v>
      </c>
      <c r="R78">
        <v>75</v>
      </c>
      <c r="S78">
        <v>383415.15161433222</v>
      </c>
      <c r="T78">
        <v>504699.53630866186</v>
      </c>
      <c r="U78">
        <v>547735.93087761744</v>
      </c>
      <c r="V78">
        <v>344136.09750598698</v>
      </c>
      <c r="W78">
        <v>452995.47528849303</v>
      </c>
      <c r="X78">
        <v>491622.99643712421</v>
      </c>
      <c r="Y78">
        <v>699927.45406851347</v>
      </c>
      <c r="Z78">
        <v>921333.07729426783</v>
      </c>
      <c r="AA78">
        <v>999896.36295501923</v>
      </c>
      <c r="AK78">
        <v>75</v>
      </c>
      <c r="AL78">
        <v>62939.540903211258</v>
      </c>
      <c r="AM78">
        <v>82848.987515451561</v>
      </c>
      <c r="AN78">
        <v>89913.629861730369</v>
      </c>
      <c r="AO78">
        <v>44101.980822306927</v>
      </c>
      <c r="AP78">
        <v>58052.607408955031</v>
      </c>
      <c r="AQ78">
        <v>63002.829746152747</v>
      </c>
      <c r="AR78">
        <v>99613.589891155178</v>
      </c>
      <c r="AS78">
        <v>131124.01118325529</v>
      </c>
      <c r="AT78">
        <v>142305.12841593596</v>
      </c>
    </row>
    <row r="79" spans="1:46" x14ac:dyDescent="0.25">
      <c r="A79" s="9">
        <v>44615</v>
      </c>
      <c r="B79">
        <v>-5.2155373616442909E-2</v>
      </c>
      <c r="C79">
        <v>-4.5907474763949095E-2</v>
      </c>
      <c r="D79">
        <v>-4.8747312394792061E-2</v>
      </c>
      <c r="R79">
        <v>76</v>
      </c>
      <c r="S79">
        <v>385962.78862165875</v>
      </c>
      <c r="T79">
        <v>508053.0584917753</v>
      </c>
      <c r="U79">
        <v>551375.41231665539</v>
      </c>
      <c r="V79">
        <v>346422.7412493857</v>
      </c>
      <c r="W79">
        <v>456005.44511398731</v>
      </c>
      <c r="X79">
        <v>494889.63035626529</v>
      </c>
      <c r="Y79">
        <v>704578.18598904647</v>
      </c>
      <c r="Z79">
        <v>927454.95910803066</v>
      </c>
      <c r="AA79">
        <v>1006540.2656986378</v>
      </c>
      <c r="AK79">
        <v>76</v>
      </c>
      <c r="AL79">
        <v>63357.74843349283</v>
      </c>
      <c r="AM79">
        <v>83399.48518286302</v>
      </c>
      <c r="AN79">
        <v>90511.069190704045</v>
      </c>
      <c r="AO79">
        <v>44395.020463453737</v>
      </c>
      <c r="AP79">
        <v>58438.343263117677</v>
      </c>
      <c r="AQ79">
        <v>63421.457804933903</v>
      </c>
      <c r="AR79">
        <v>100275.48149082421</v>
      </c>
      <c r="AS79">
        <v>131995.27665628903</v>
      </c>
      <c r="AT79">
        <v>143250.68784403458</v>
      </c>
    </row>
    <row r="80" spans="1:46" x14ac:dyDescent="0.25">
      <c r="A80" s="8">
        <v>44616</v>
      </c>
      <c r="B80">
        <v>-4.8635653977566445E-2</v>
      </c>
      <c r="C80">
        <v>-4.0476310467207781E-2</v>
      </c>
      <c r="D80">
        <v>-4.4171663991948225E-2</v>
      </c>
      <c r="R80">
        <v>77</v>
      </c>
      <c r="S80">
        <v>388493.71927197627</v>
      </c>
      <c r="T80">
        <v>511384.58965392795</v>
      </c>
      <c r="U80">
        <v>554991.02753139462</v>
      </c>
      <c r="V80">
        <v>348694.39012239286</v>
      </c>
      <c r="W80">
        <v>458995.67679376202</v>
      </c>
      <c r="X80">
        <v>498134.84303198976</v>
      </c>
      <c r="Y80">
        <v>709198.42032001156</v>
      </c>
      <c r="Z80">
        <v>933536.69613552548</v>
      </c>
      <c r="AA80">
        <v>1013140.6004571593</v>
      </c>
      <c r="AK80">
        <v>77</v>
      </c>
      <c r="AL80">
        <v>63773.213530576635</v>
      </c>
      <c r="AM80">
        <v>83946.372912697829</v>
      </c>
      <c r="AN80">
        <v>91104.590757966624</v>
      </c>
      <c r="AO80">
        <v>44686.138471004902</v>
      </c>
      <c r="AP80">
        <v>58821.549619996251</v>
      </c>
      <c r="AQ80">
        <v>63837.340672864142</v>
      </c>
      <c r="AR80">
        <v>100933.0326772658</v>
      </c>
      <c r="AS80">
        <v>132860.82872823763</v>
      </c>
      <c r="AT80">
        <v>144190.04668180828</v>
      </c>
    </row>
    <row r="81" spans="1:46" x14ac:dyDescent="0.25">
      <c r="A81" s="9">
        <v>44617</v>
      </c>
      <c r="B81">
        <v>0.16426997731147258</v>
      </c>
      <c r="C81">
        <v>0.14857482042872033</v>
      </c>
      <c r="D81">
        <v>0.15564993384989551</v>
      </c>
      <c r="R81">
        <v>78</v>
      </c>
      <c r="S81">
        <v>391008.26797772321</v>
      </c>
      <c r="T81">
        <v>514694.55682781938</v>
      </c>
      <c r="U81">
        <v>558583.239968176</v>
      </c>
      <c r="V81">
        <v>350951.33530293935</v>
      </c>
      <c r="W81">
        <v>461966.55361305288</v>
      </c>
      <c r="X81">
        <v>501359.05043277051</v>
      </c>
      <c r="Y81">
        <v>713788.74927893362</v>
      </c>
      <c r="Z81">
        <v>939579.06792839221</v>
      </c>
      <c r="AA81">
        <v>1019698.2132556194</v>
      </c>
      <c r="AK81">
        <v>78</v>
      </c>
      <c r="AL81">
        <v>64185.989448409091</v>
      </c>
      <c r="AM81">
        <v>84489.720804538505</v>
      </c>
      <c r="AN81">
        <v>91694.270640584407</v>
      </c>
      <c r="AO81">
        <v>44975.372160207553</v>
      </c>
      <c r="AP81">
        <v>59202.275598640554</v>
      </c>
      <c r="AQ81">
        <v>64250.531657439358</v>
      </c>
      <c r="AR81">
        <v>101586.32773480585</v>
      </c>
      <c r="AS81">
        <v>133720.77834479546</v>
      </c>
      <c r="AT81">
        <v>145123.32533543691</v>
      </c>
    </row>
    <row r="82" spans="1:46" x14ac:dyDescent="0.25">
      <c r="A82" s="8">
        <v>44620</v>
      </c>
      <c r="B82">
        <v>4.3298199797833684E-2</v>
      </c>
      <c r="C82">
        <v>2.4853390428456992E-2</v>
      </c>
      <c r="D82">
        <v>3.3230020107308689E-2</v>
      </c>
      <c r="R82">
        <v>79</v>
      </c>
      <c r="S82">
        <v>393506.74878597044</v>
      </c>
      <c r="T82">
        <v>517983.37340194074</v>
      </c>
      <c r="U82">
        <v>562152.49826567201</v>
      </c>
      <c r="V82">
        <v>353193.85866547114</v>
      </c>
      <c r="W82">
        <v>464918.44661067118</v>
      </c>
      <c r="X82">
        <v>504562.65523638728</v>
      </c>
      <c r="Y82">
        <v>718349.74616127531</v>
      </c>
      <c r="Z82">
        <v>945582.8291306583</v>
      </c>
      <c r="AA82">
        <v>1026213.923087536</v>
      </c>
      <c r="AK82">
        <v>79</v>
      </c>
      <c r="AL82">
        <v>64596.127739408985</v>
      </c>
      <c r="AM82">
        <v>85029.596718201632</v>
      </c>
      <c r="AN82">
        <v>92280.182484869976</v>
      </c>
      <c r="AO82">
        <v>45262.757654041816</v>
      </c>
      <c r="AP82">
        <v>59580.568748687692</v>
      </c>
      <c r="AQ82">
        <v>64661.082362916874</v>
      </c>
      <c r="AR82">
        <v>102235.44825478469</v>
      </c>
      <c r="AS82">
        <v>134575.23290680841</v>
      </c>
      <c r="AT82">
        <v>146050.64036397811</v>
      </c>
    </row>
    <row r="83" spans="1:46" x14ac:dyDescent="0.25">
      <c r="A83" s="9">
        <v>44621</v>
      </c>
      <c r="B83">
        <v>8.4368707067422263E-2</v>
      </c>
      <c r="C83">
        <v>0.14928226907845801</v>
      </c>
      <c r="D83">
        <v>0.11951479198582809</v>
      </c>
      <c r="R83">
        <v>80</v>
      </c>
      <c r="S83">
        <v>395989.4658362401</v>
      </c>
      <c r="T83">
        <v>521251.43972321402</v>
      </c>
      <c r="U83">
        <v>565699.2369089144</v>
      </c>
      <c r="V83">
        <v>355422.23319186643</v>
      </c>
      <c r="W83">
        <v>467851.71511990583</v>
      </c>
      <c r="X83">
        <v>507746.04741695203</v>
      </c>
      <c r="Y83">
        <v>722881.96617618925</v>
      </c>
      <c r="Z83">
        <v>951548.71057886141</v>
      </c>
      <c r="AA83">
        <v>1032688.5231088417</v>
      </c>
      <c r="AK83">
        <v>80</v>
      </c>
      <c r="AL83">
        <v>65003.678329620729</v>
      </c>
      <c r="AM83">
        <v>85566.06637266402</v>
      </c>
      <c r="AN83">
        <v>92862.397613743888</v>
      </c>
      <c r="AO83">
        <v>45548.32993588096</v>
      </c>
      <c r="AP83">
        <v>59956.475119680043</v>
      </c>
      <c r="AQ83">
        <v>65069.042765544225</v>
      </c>
      <c r="AR83">
        <v>102880.47325450119</v>
      </c>
      <c r="AS83">
        <v>135424.29642684342</v>
      </c>
      <c r="AT83">
        <v>146972.10464928742</v>
      </c>
    </row>
    <row r="84" spans="1:46" x14ac:dyDescent="0.25">
      <c r="A84" s="8">
        <v>44622</v>
      </c>
      <c r="B84">
        <v>2.3395375346047617E-2</v>
      </c>
      <c r="C84">
        <v>1.6310787639971701E-2</v>
      </c>
      <c r="D84">
        <v>1.9457581602630884E-2</v>
      </c>
      <c r="R84">
        <v>81</v>
      </c>
      <c r="S84">
        <v>398456.71379264857</v>
      </c>
      <c r="T84">
        <v>524499.14366583328</v>
      </c>
      <c r="U84">
        <v>569223.87684664072</v>
      </c>
      <c r="V84">
        <v>357636.72335930791</v>
      </c>
      <c r="W84">
        <v>470766.70727908902</v>
      </c>
      <c r="X84">
        <v>510909.60479901126</v>
      </c>
      <c r="Y84">
        <v>727385.94723539811</v>
      </c>
      <c r="Z84">
        <v>957477.42034047318</v>
      </c>
      <c r="AA84">
        <v>1039122.7817648544</v>
      </c>
      <c r="AK84">
        <v>81</v>
      </c>
      <c r="AL84">
        <v>65408.689589652859</v>
      </c>
      <c r="AM84">
        <v>86099.19343944102</v>
      </c>
      <c r="AN84">
        <v>93440.98512807551</v>
      </c>
      <c r="AO84">
        <v>45832.122899198301</v>
      </c>
      <c r="AP84">
        <v>60330.039326495731</v>
      </c>
      <c r="AQ84">
        <v>65474.461284568999</v>
      </c>
      <c r="AR84">
        <v>103521.47928948615</v>
      </c>
      <c r="AS84">
        <v>136268.06967697668</v>
      </c>
      <c r="AT84">
        <v>147887.82755640877</v>
      </c>
    </row>
    <row r="85" spans="1:46" x14ac:dyDescent="0.25">
      <c r="A85" s="9">
        <v>44623</v>
      </c>
      <c r="B85">
        <v>-3.9331809871097065E-2</v>
      </c>
      <c r="C85">
        <v>-3.1328016028586085E-2</v>
      </c>
      <c r="D85">
        <v>-3.489683000430379E-2</v>
      </c>
      <c r="R85">
        <v>82</v>
      </c>
      <c r="S85">
        <v>400908.77825211384</v>
      </c>
      <c r="T85">
        <v>527726.86116859887</v>
      </c>
      <c r="U85">
        <v>572726.8260744483</v>
      </c>
      <c r="V85">
        <v>359837.58550667111</v>
      </c>
      <c r="W85">
        <v>473663.76051388343</v>
      </c>
      <c r="X85">
        <v>514053.6935809587</v>
      </c>
      <c r="Y85">
        <v>731862.2106983813</v>
      </c>
      <c r="Z85">
        <v>963369.64469480806</v>
      </c>
      <c r="AA85">
        <v>1045517.4438548303</v>
      </c>
      <c r="AK85">
        <v>82</v>
      </c>
      <c r="AL85">
        <v>65811.208401687356</v>
      </c>
      <c r="AM85">
        <v>86629.03963079254</v>
      </c>
      <c r="AN85">
        <v>94016.012002410498</v>
      </c>
      <c r="AO85">
        <v>46114.169394520883</v>
      </c>
      <c r="AP85">
        <v>60701.304611155036</v>
      </c>
      <c r="AQ85">
        <v>65877.384849315538</v>
      </c>
      <c r="AR85">
        <v>104158.54055955703</v>
      </c>
      <c r="AS85">
        <v>137106.6503283965</v>
      </c>
      <c r="AT85">
        <v>148797.91508508148</v>
      </c>
    </row>
    <row r="86" spans="1:46" x14ac:dyDescent="0.25">
      <c r="A86" s="8">
        <v>44624</v>
      </c>
      <c r="B86">
        <v>-2.9654036424760645E-2</v>
      </c>
      <c r="C86">
        <v>-4.0195841638881263E-2</v>
      </c>
      <c r="D86">
        <v>-3.5516953387190547E-2</v>
      </c>
      <c r="R86">
        <v>83</v>
      </c>
      <c r="S86">
        <v>403345.93613022607</v>
      </c>
      <c r="T86">
        <v>530934.95674284862</v>
      </c>
      <c r="U86">
        <v>576208.48018603725</v>
      </c>
      <c r="V86">
        <v>362025.06818086439</v>
      </c>
      <c r="W86">
        <v>476543.20199317863</v>
      </c>
      <c r="X86">
        <v>517178.66882980621</v>
      </c>
      <c r="Y86">
        <v>736311.26207678393</v>
      </c>
      <c r="Z86">
        <v>969226.04906025645</v>
      </c>
      <c r="AA86">
        <v>1051873.2315382627</v>
      </c>
      <c r="AK86">
        <v>83</v>
      </c>
      <c r="AL86">
        <v>66211.280222822184</v>
      </c>
      <c r="AM86">
        <v>87155.664783102664</v>
      </c>
      <c r="AN86">
        <v>94587.543175460247</v>
      </c>
      <c r="AO86">
        <v>46394.501273813847</v>
      </c>
      <c r="AP86">
        <v>61070.312901244761</v>
      </c>
      <c r="AQ86">
        <v>66277.858962591199</v>
      </c>
      <c r="AR86">
        <v>104791.72900906953</v>
      </c>
      <c r="AS86">
        <v>137940.13308336705</v>
      </c>
      <c r="AT86">
        <v>149702.47001295647</v>
      </c>
    </row>
    <row r="87" spans="1:46" x14ac:dyDescent="0.25">
      <c r="A87" s="9">
        <v>44627</v>
      </c>
      <c r="B87">
        <v>-5.5335786048770035E-3</v>
      </c>
      <c r="C87">
        <v>-2.8460658010653301E-2</v>
      </c>
      <c r="D87">
        <v>-1.8222815932482393E-2</v>
      </c>
      <c r="R87">
        <v>84</v>
      </c>
      <c r="S87">
        <v>405768.45602625923</v>
      </c>
      <c r="T87">
        <v>534123.78395293304</v>
      </c>
      <c r="U87">
        <v>579669.22289465601</v>
      </c>
      <c r="V87">
        <v>364199.41246444668</v>
      </c>
      <c r="W87">
        <v>479405.34906034305</v>
      </c>
      <c r="X87">
        <v>520284.87494920951</v>
      </c>
      <c r="Y87">
        <v>740733.59170074819</v>
      </c>
      <c r="Z87">
        <v>975047.27887139306</v>
      </c>
      <c r="AA87">
        <v>1058190.8452867831</v>
      </c>
      <c r="AK87">
        <v>84</v>
      </c>
      <c r="AL87">
        <v>66608.949144989834</v>
      </c>
      <c r="AM87">
        <v>87679.12693575192</v>
      </c>
      <c r="AN87">
        <v>95155.641635699751</v>
      </c>
      <c r="AO87">
        <v>46673.149432465587</v>
      </c>
      <c r="AP87">
        <v>61437.104865184294</v>
      </c>
      <c r="AQ87">
        <v>66675.927760665116</v>
      </c>
      <c r="AR87">
        <v>105421.11442174969</v>
      </c>
      <c r="AS87">
        <v>138768.60980005827</v>
      </c>
      <c r="AT87">
        <v>150601.59203107096</v>
      </c>
    </row>
    <row r="88" spans="1:46" x14ac:dyDescent="0.25">
      <c r="A88" s="8">
        <v>44628</v>
      </c>
      <c r="B88">
        <v>4.1732786913669748E-3</v>
      </c>
      <c r="C88">
        <v>1.5891974986148381E-2</v>
      </c>
      <c r="D88">
        <v>1.0591483044898421E-2</v>
      </c>
      <c r="R88">
        <v>85</v>
      </c>
      <c r="S88">
        <v>408176.59856868349</v>
      </c>
      <c r="T88">
        <v>537293.68587102217</v>
      </c>
      <c r="U88">
        <v>583109.42652669072</v>
      </c>
      <c r="V88">
        <v>366360.8522857441</v>
      </c>
      <c r="W88">
        <v>482250.50964143866</v>
      </c>
      <c r="X88">
        <v>523372.64612249151</v>
      </c>
      <c r="Y88">
        <v>745129.67534965021</v>
      </c>
      <c r="Z88">
        <v>980833.96040923346</v>
      </c>
      <c r="AA88">
        <v>1064470.9647852145</v>
      </c>
      <c r="AK88">
        <v>85</v>
      </c>
      <c r="AL88">
        <v>67004.257951674997</v>
      </c>
      <c r="AM88">
        <v>88199.482405776274</v>
      </c>
      <c r="AN88">
        <v>95720.368502392841</v>
      </c>
      <c r="AO88">
        <v>46950.143849030013</v>
      </c>
      <c r="AP88">
        <v>61801.719964539509</v>
      </c>
      <c r="AQ88">
        <v>67071.63407004287</v>
      </c>
      <c r="AR88">
        <v>106046.76451046029</v>
      </c>
      <c r="AS88">
        <v>139592.16961070793</v>
      </c>
      <c r="AT88">
        <v>151495.3778720861</v>
      </c>
    </row>
    <row r="89" spans="1:46" x14ac:dyDescent="0.25">
      <c r="A89" s="9">
        <v>44629</v>
      </c>
      <c r="B89">
        <v>0.10817963110861564</v>
      </c>
      <c r="C89">
        <v>0.10413235569510448</v>
      </c>
      <c r="D89">
        <v>0.10595135555199671</v>
      </c>
      <c r="R89">
        <v>86</v>
      </c>
      <c r="S89">
        <v>410570.61674243823</v>
      </c>
      <c r="T89">
        <v>540444.9955079034</v>
      </c>
      <c r="U89">
        <v>586529.45248919737</v>
      </c>
      <c r="V89">
        <v>368509.61471259542</v>
      </c>
      <c r="W89">
        <v>485078.9826318858</v>
      </c>
      <c r="X89">
        <v>526442.30673227913</v>
      </c>
      <c r="Y89">
        <v>749499.97484953888</v>
      </c>
      <c r="Z89">
        <v>986586.70158765849</v>
      </c>
      <c r="AA89">
        <v>1070714.2497850556</v>
      </c>
      <c r="AK89">
        <v>86</v>
      </c>
      <c r="AL89">
        <v>67397.248171637999</v>
      </c>
      <c r="AM89">
        <v>88716.785858584728</v>
      </c>
      <c r="AN89">
        <v>96281.783102340007</v>
      </c>
      <c r="AO89">
        <v>47225.513622870843</v>
      </c>
      <c r="AP89">
        <v>62164.196503574887</v>
      </c>
      <c r="AQ89">
        <v>67465.019461244054</v>
      </c>
      <c r="AR89">
        <v>106668.74500222826</v>
      </c>
      <c r="AS89">
        <v>140410.89903354534</v>
      </c>
      <c r="AT89">
        <v>152383.92143175463</v>
      </c>
    </row>
    <row r="90" spans="1:46" x14ac:dyDescent="0.25">
      <c r="A90" s="8">
        <v>44630</v>
      </c>
      <c r="B90">
        <v>2.204664975150147E-2</v>
      </c>
      <c r="C90">
        <v>-5.8678452358658702E-3</v>
      </c>
      <c r="D90">
        <v>6.7032703478657986E-3</v>
      </c>
      <c r="R90">
        <v>87</v>
      </c>
      <c r="S90">
        <v>412950.7561991284</v>
      </c>
      <c r="T90">
        <v>543578.03622130165</v>
      </c>
      <c r="U90">
        <v>589929.65171304054</v>
      </c>
      <c r="V90">
        <v>370645.92023076979</v>
      </c>
      <c r="W90">
        <v>487891.05826295208</v>
      </c>
      <c r="X90">
        <v>529494.17175824253</v>
      </c>
      <c r="Y90">
        <v>753844.93863940216</v>
      </c>
      <c r="Z90">
        <v>992306.09269880492</v>
      </c>
      <c r="AA90">
        <v>1076921.3409134317</v>
      </c>
      <c r="AK90">
        <v>87</v>
      </c>
      <c r="AL90">
        <v>67787.960129835177</v>
      </c>
      <c r="AM90">
        <v>89231.090374987121</v>
      </c>
      <c r="AN90">
        <v>96839.943042621671</v>
      </c>
      <c r="AO90">
        <v>47499.28700984161</v>
      </c>
      <c r="AP90">
        <v>62524.571676220083</v>
      </c>
      <c r="AQ90">
        <v>67856.124299773728</v>
      </c>
      <c r="AR90">
        <v>107287.11971883565</v>
      </c>
      <c r="AS90">
        <v>141224.8820788755</v>
      </c>
      <c r="AT90">
        <v>153267.31388405093</v>
      </c>
    </row>
    <row r="91" spans="1:46" x14ac:dyDescent="0.25">
      <c r="A91" s="9">
        <v>44631</v>
      </c>
      <c r="B91">
        <v>-6.3934732416042628E-3</v>
      </c>
      <c r="C91">
        <v>-3.6240765800206694E-2</v>
      </c>
      <c r="D91">
        <v>-2.2594361741803921E-2</v>
      </c>
      <c r="R91">
        <v>88</v>
      </c>
      <c r="S91">
        <v>415317.25555122056</v>
      </c>
      <c r="T91">
        <v>546693.12210313731</v>
      </c>
      <c r="U91">
        <v>593310.36507317226</v>
      </c>
      <c r="V91">
        <v>372769.98300802446</v>
      </c>
      <c r="W91">
        <v>490687.01844933839</v>
      </c>
      <c r="X91">
        <v>532528.54715432064</v>
      </c>
      <c r="Y91">
        <v>758165.0023082234</v>
      </c>
      <c r="Z91">
        <v>997992.70712000842</v>
      </c>
      <c r="AA91">
        <v>1083092.8604403192</v>
      </c>
      <c r="AK91">
        <v>88</v>
      </c>
      <c r="AL91">
        <v>68176.432995712545</v>
      </c>
      <c r="AM91">
        <v>89742.447514764484</v>
      </c>
      <c r="AN91">
        <v>97394.904279589347</v>
      </c>
      <c r="AO91">
        <v>47771.491456125339</v>
      </c>
      <c r="AP91">
        <v>62882.881610613971</v>
      </c>
      <c r="AQ91">
        <v>68244.987794464774</v>
      </c>
      <c r="AR91">
        <v>107901.95065325347</v>
      </c>
      <c r="AS91">
        <v>142034.2003496908</v>
      </c>
      <c r="AT91">
        <v>154145.64379036211</v>
      </c>
    </row>
    <row r="92" spans="1:46" x14ac:dyDescent="0.25">
      <c r="A92" s="8">
        <v>44634</v>
      </c>
      <c r="B92">
        <v>-4.2804352938650626E-2</v>
      </c>
      <c r="C92">
        <v>8.8851837513855333E-3</v>
      </c>
      <c r="D92">
        <v>-1.5139380472384292E-2</v>
      </c>
      <c r="R92">
        <v>89</v>
      </c>
      <c r="S92">
        <v>417670.34665123606</v>
      </c>
      <c r="T92">
        <v>549790.55834703532</v>
      </c>
      <c r="U92">
        <v>596671.9237874801</v>
      </c>
      <c r="V92">
        <v>374882.01114469534</v>
      </c>
      <c r="W92">
        <v>493467.1371190378</v>
      </c>
      <c r="X92">
        <v>535545.73020670761</v>
      </c>
      <c r="Y92">
        <v>762460.58910465182</v>
      </c>
      <c r="Z92">
        <v>1003647.1019846948</v>
      </c>
      <c r="AA92">
        <v>1089229.4130066454</v>
      </c>
      <c r="AK92">
        <v>89</v>
      </c>
      <c r="AL92">
        <v>68562.704829036913</v>
      </c>
      <c r="AM92">
        <v>90250.90737699758</v>
      </c>
      <c r="AN92">
        <v>97946.721184338443</v>
      </c>
      <c r="AO92">
        <v>48042.153630348468</v>
      </c>
      <c r="AP92">
        <v>63239.16141137707</v>
      </c>
      <c r="AQ92">
        <v>68631.648043354944</v>
      </c>
      <c r="AR92">
        <v>108513.29804217788</v>
      </c>
      <c r="AS92">
        <v>142838.93313715252</v>
      </c>
      <c r="AT92">
        <v>155018.99720311124</v>
      </c>
    </row>
    <row r="93" spans="1:46" x14ac:dyDescent="0.25">
      <c r="A93" s="9">
        <v>44635</v>
      </c>
      <c r="B93">
        <v>-7.8505918340203346E-2</v>
      </c>
      <c r="C93">
        <v>-6.1082576125493136E-2</v>
      </c>
      <c r="D93">
        <v>-6.8953220484446145E-2</v>
      </c>
      <c r="R93">
        <v>90</v>
      </c>
      <c r="S93">
        <v>420010.25485686614</v>
      </c>
      <c r="T93">
        <v>552870.64159730345</v>
      </c>
      <c r="U93">
        <v>600014.64979552303</v>
      </c>
      <c r="V93">
        <v>376982.20691165276</v>
      </c>
      <c r="W93">
        <v>496231.68052656332</v>
      </c>
      <c r="X93">
        <v>538546.00987378962</v>
      </c>
      <c r="Y93">
        <v>766732.11042097176</v>
      </c>
      <c r="Z93">
        <v>1009269.8188194424</v>
      </c>
      <c r="AA93">
        <v>1095331.5863156738</v>
      </c>
      <c r="AK93">
        <v>90</v>
      </c>
      <c r="AL93">
        <v>68946.812623415753</v>
      </c>
      <c r="AM93">
        <v>90756.518657353401</v>
      </c>
      <c r="AN93">
        <v>98495.446604879646</v>
      </c>
      <c r="AO93">
        <v>48311.299454075473</v>
      </c>
      <c r="AP93">
        <v>63593.445199752408</v>
      </c>
      <c r="AQ93">
        <v>69016.142077250668</v>
      </c>
      <c r="AR93">
        <v>109121.22043490854</v>
      </c>
      <c r="AS93">
        <v>143639.15751125716</v>
      </c>
      <c r="AT93">
        <v>155887.45776415503</v>
      </c>
    </row>
    <row r="94" spans="1:46" x14ac:dyDescent="0.25">
      <c r="A94" s="8">
        <v>44636</v>
      </c>
      <c r="B94">
        <v>4.4404973638701939E-2</v>
      </c>
      <c r="C94">
        <v>5.7753473660732434E-2</v>
      </c>
      <c r="D94">
        <v>5.178542525768292E-2</v>
      </c>
      <c r="R94">
        <v>91</v>
      </c>
      <c r="S94">
        <v>422337.19928286626</v>
      </c>
      <c r="T94">
        <v>555933.66028050764</v>
      </c>
      <c r="U94">
        <v>603338.85611838032</v>
      </c>
      <c r="V94">
        <v>379070.76697639032</v>
      </c>
      <c r="W94">
        <v>498980.90755055466</v>
      </c>
      <c r="X94">
        <v>541529.66710912902</v>
      </c>
      <c r="Y94">
        <v>770979.96625293803</v>
      </c>
      <c r="Z94">
        <v>1014861.3841492756</v>
      </c>
      <c r="AA94">
        <v>1101399.9517899114</v>
      </c>
      <c r="AK94">
        <v>91</v>
      </c>
      <c r="AL94">
        <v>69328.792347647031</v>
      </c>
      <c r="AM94">
        <v>91259.328702514977</v>
      </c>
      <c r="AN94">
        <v>99041.131925210051</v>
      </c>
      <c r="AO94">
        <v>48578.954130782811</v>
      </c>
      <c r="AP94">
        <v>63945.766151744727</v>
      </c>
      <c r="AQ94">
        <v>69398.505901118304</v>
      </c>
      <c r="AR94">
        <v>109725.77475879256</v>
      </c>
      <c r="AS94">
        <v>144434.94840698203</v>
      </c>
      <c r="AT94">
        <v>156751.10679827508</v>
      </c>
    </row>
    <row r="95" spans="1:46" x14ac:dyDescent="0.25">
      <c r="A95" s="9">
        <v>44637</v>
      </c>
      <c r="B95">
        <v>7.6348445556052288E-2</v>
      </c>
      <c r="C95">
        <v>5.8305634204275585E-2</v>
      </c>
      <c r="D95">
        <v>6.631588034639356E-2</v>
      </c>
      <c r="R95">
        <v>92</v>
      </c>
      <c r="S95">
        <v>424651.3930405284</v>
      </c>
      <c r="T95">
        <v>558979.89492069557</v>
      </c>
      <c r="U95">
        <v>606644.8472007548</v>
      </c>
      <c r="V95">
        <v>381147.88261796429</v>
      </c>
      <c r="W95">
        <v>501715.0699767081</v>
      </c>
      <c r="X95">
        <v>544496.97516852035</v>
      </c>
      <c r="Y95">
        <v>775204.54563693446</v>
      </c>
      <c r="Z95">
        <v>1020422.3100731076</v>
      </c>
      <c r="AA95">
        <v>1107435.0651956205</v>
      </c>
      <c r="AK95">
        <v>92</v>
      </c>
      <c r="AL95">
        <v>69708.678985029706</v>
      </c>
      <c r="AM95">
        <v>91759.38356192685</v>
      </c>
      <c r="AN95">
        <v>99583.827121470997</v>
      </c>
      <c r="AO95">
        <v>48845.14217340399</v>
      </c>
      <c r="AP95">
        <v>64296.15653437873</v>
      </c>
      <c r="AQ95">
        <v>69778.774533434276</v>
      </c>
      <c r="AR95">
        <v>110327.01638144055</v>
      </c>
      <c r="AS95">
        <v>145226.37870618195</v>
      </c>
      <c r="AT95">
        <v>157610.02340205791</v>
      </c>
    </row>
    <row r="96" spans="1:46" x14ac:dyDescent="0.25">
      <c r="A96" s="8">
        <v>44638</v>
      </c>
      <c r="B96">
        <v>2.0540595091788568E-2</v>
      </c>
      <c r="C96">
        <v>-5.8534826926803625E-2</v>
      </c>
      <c r="D96">
        <v>-2.3098379022172207E-2</v>
      </c>
      <c r="R96">
        <v>93</v>
      </c>
      <c r="S96">
        <v>426953.04346546967</v>
      </c>
      <c r="T96">
        <v>562009.61843924073</v>
      </c>
      <c r="U96">
        <v>609932.91923638526</v>
      </c>
      <c r="V96">
        <v>383213.73993144633</v>
      </c>
      <c r="W96">
        <v>504434.41276690381</v>
      </c>
      <c r="X96">
        <v>547448.19990206615</v>
      </c>
      <c r="Y96">
        <v>779406.22706580313</v>
      </c>
      <c r="Z96">
        <v>1025953.0948111083</v>
      </c>
      <c r="AA96">
        <v>1113437.4672368616</v>
      </c>
      <c r="AK96">
        <v>93</v>
      </c>
      <c r="AL96">
        <v>70086.506570756421</v>
      </c>
      <c r="AM96">
        <v>92256.728037016117</v>
      </c>
      <c r="AN96">
        <v>100123.58081536632</v>
      </c>
      <c r="AO96">
        <v>49109.887430530711</v>
      </c>
      <c r="AP96">
        <v>64644.647740188382</v>
      </c>
      <c r="AQ96">
        <v>70156.982043615295</v>
      </c>
      <c r="AR96">
        <v>110924.99916990772</v>
      </c>
      <c r="AS96">
        <v>146013.51931549079</v>
      </c>
      <c r="AT96">
        <v>158464.2845284396</v>
      </c>
    </row>
    <row r="97" spans="1:46" x14ac:dyDescent="0.25">
      <c r="A97" s="9">
        <v>44641</v>
      </c>
      <c r="B97">
        <v>2.0293048815270665E-2</v>
      </c>
      <c r="C97">
        <v>-6.6433438020976551E-3</v>
      </c>
      <c r="D97">
        <v>5.967018147725444E-3</v>
      </c>
      <c r="R97">
        <v>94</v>
      </c>
      <c r="S97">
        <v>429242.35233442788</v>
      </c>
      <c r="T97">
        <v>565023.09644021629</v>
      </c>
      <c r="U97">
        <v>613203.36047775415</v>
      </c>
      <c r="V97">
        <v>385268.52002250956</v>
      </c>
      <c r="W97">
        <v>507139.17431534425</v>
      </c>
      <c r="X97">
        <v>550383.60003215657</v>
      </c>
      <c r="Y97">
        <v>783585.37888460816</v>
      </c>
      <c r="Z97">
        <v>1031454.2232256577</v>
      </c>
      <c r="AA97">
        <v>1119407.6841208688</v>
      </c>
      <c r="AK97">
        <v>94</v>
      </c>
      <c r="AL97">
        <v>70462.30822750162</v>
      </c>
      <c r="AM97">
        <v>92751.405728037862</v>
      </c>
      <c r="AN97">
        <v>100660.44032500232</v>
      </c>
      <c r="AO97">
        <v>49373.213111349629</v>
      </c>
      <c r="AP97">
        <v>64991.270320041862</v>
      </c>
      <c r="AQ97">
        <v>70533.161587642317</v>
      </c>
      <c r="AR97">
        <v>111519.77554701861</v>
      </c>
      <c r="AS97">
        <v>146796.43924046328</v>
      </c>
      <c r="AT97">
        <v>159313.96506716943</v>
      </c>
    </row>
    <row r="98" spans="1:46" x14ac:dyDescent="0.25">
      <c r="A98" s="8">
        <v>44642</v>
      </c>
      <c r="B98">
        <v>5.0400660082361376E-3</v>
      </c>
      <c r="C98">
        <v>-1.3760295230223363E-3</v>
      </c>
      <c r="D98">
        <v>1.6704630659191944E-3</v>
      </c>
      <c r="R98">
        <v>95</v>
      </c>
      <c r="S98">
        <v>431519.51607170561</v>
      </c>
      <c r="T98">
        <v>568020.58748214308</v>
      </c>
      <c r="U98">
        <v>616456.451531008</v>
      </c>
      <c r="V98">
        <v>387312.39919272333</v>
      </c>
      <c r="W98">
        <v>509829.58669246233</v>
      </c>
      <c r="X98">
        <v>553303.42741817608</v>
      </c>
      <c r="Y98">
        <v>787742.35966749885</v>
      </c>
      <c r="Z98">
        <v>1036926.167317422</v>
      </c>
      <c r="AA98">
        <v>1125346.2280964269</v>
      </c>
      <c r="AK98">
        <v>95</v>
      </c>
      <c r="AL98">
        <v>70836.116199310389</v>
      </c>
      <c r="AM98">
        <v>93243.459078684085</v>
      </c>
      <c r="AN98">
        <v>101194.45171330054</v>
      </c>
      <c r="AO98">
        <v>49635.141809388377</v>
      </c>
      <c r="AP98">
        <v>65336.054014398993</v>
      </c>
      <c r="AQ98">
        <v>70907.345441983402</v>
      </c>
      <c r="AR98">
        <v>112111.39654500243</v>
      </c>
      <c r="AS98">
        <v>147575.20565617667</v>
      </c>
      <c r="AT98">
        <v>160159.13792143203</v>
      </c>
    </row>
    <row r="99" spans="1:46" x14ac:dyDescent="0.25">
      <c r="A99" s="9">
        <v>44643</v>
      </c>
      <c r="B99">
        <v>2.0490714809771628E-2</v>
      </c>
      <c r="C99">
        <v>4.1752110172960169E-2</v>
      </c>
      <c r="D99">
        <v>3.1622806871881952E-2</v>
      </c>
      <c r="R99">
        <v>96</v>
      </c>
      <c r="S99">
        <v>433784.72594586003</v>
      </c>
      <c r="T99">
        <v>571002.34333689744</v>
      </c>
      <c r="U99">
        <v>619692.46563694288</v>
      </c>
      <c r="V99">
        <v>389345.5491160932</v>
      </c>
      <c r="W99">
        <v>512505.87587730639</v>
      </c>
      <c r="X99">
        <v>556207.92730870459</v>
      </c>
      <c r="Y99">
        <v>791877.51857677044</v>
      </c>
      <c r="Z99">
        <v>1042369.3866979938</v>
      </c>
      <c r="AA99">
        <v>1131253.5979668149</v>
      </c>
      <c r="AK99">
        <v>96</v>
      </c>
      <c r="AL99">
        <v>71207.961883886004</v>
      </c>
      <c r="AM99">
        <v>93732.929418584637</v>
      </c>
      <c r="AN99">
        <v>101725.65983412285</v>
      </c>
      <c r="AO99">
        <v>49895.695525139672</v>
      </c>
      <c r="AP99">
        <v>65679.027783092024</v>
      </c>
      <c r="AQ99">
        <v>71279.565035913809</v>
      </c>
      <c r="AR99">
        <v>112699.91185659445</v>
      </c>
      <c r="AS99">
        <v>148349.88397449677</v>
      </c>
      <c r="AT99">
        <v>160999.8740808492</v>
      </c>
    </row>
    <row r="100" spans="1:46" x14ac:dyDescent="0.25">
      <c r="A100" s="8">
        <v>44644</v>
      </c>
      <c r="B100">
        <v>4.9669854689563678E-3</v>
      </c>
      <c r="C100">
        <v>6.6439177498655265E-3</v>
      </c>
      <c r="D100">
        <v>5.8536187003610362E-3</v>
      </c>
      <c r="R100">
        <v>97</v>
      </c>
      <c r="S100">
        <v>436038.16825719597</v>
      </c>
      <c r="T100">
        <v>573968.60923651315</v>
      </c>
      <c r="U100">
        <v>622911.66893885133</v>
      </c>
      <c r="V100">
        <v>391368.13700734609</v>
      </c>
      <c r="W100">
        <v>515168.26197905757</v>
      </c>
      <c r="X100">
        <v>559097.33858192293</v>
      </c>
      <c r="Y100">
        <v>795991.19570513337</v>
      </c>
      <c r="Z100">
        <v>1047784.3290404307</v>
      </c>
      <c r="AA100">
        <v>1137130.2795787619</v>
      </c>
      <c r="AK100">
        <v>97</v>
      </c>
      <c r="AL100">
        <v>71577.875863368012</v>
      </c>
      <c r="AM100">
        <v>94219.857003821162</v>
      </c>
      <c r="AN100">
        <v>102254.10837624002</v>
      </c>
      <c r="AO100">
        <v>50154.895687627453</v>
      </c>
      <c r="AP100">
        <v>66020.219833713694</v>
      </c>
      <c r="AQ100">
        <v>71649.850982324933</v>
      </c>
      <c r="AR100">
        <v>113285.36988374771</v>
      </c>
      <c r="AS100">
        <v>149120.53790819854</v>
      </c>
      <c r="AT100">
        <v>161836.24269106815</v>
      </c>
    </row>
    <row r="101" spans="1:46" x14ac:dyDescent="0.25">
      <c r="A101" s="9">
        <v>44645</v>
      </c>
      <c r="B101">
        <v>4.0222902989401205E-2</v>
      </c>
      <c r="C101">
        <v>3.1991937396984992E-2</v>
      </c>
      <c r="D101">
        <v>3.5867580104988459E-2</v>
      </c>
      <c r="R101">
        <v>98</v>
      </c>
      <c r="S101">
        <v>438280.02451658313</v>
      </c>
      <c r="T101">
        <v>576919.62410856353</v>
      </c>
      <c r="U101">
        <v>626114.32073797588</v>
      </c>
      <c r="V101">
        <v>393380.32578242844</v>
      </c>
      <c r="W101">
        <v>517816.95944829867</v>
      </c>
      <c r="X101">
        <v>561971.89397489768</v>
      </c>
      <c r="Y101">
        <v>800083.72240214492</v>
      </c>
      <c r="Z101">
        <v>1053171.4305089458</v>
      </c>
      <c r="AA101">
        <v>1142976.7462887783</v>
      </c>
      <c r="AK101">
        <v>98</v>
      </c>
      <c r="AL101">
        <v>71945.887933685852</v>
      </c>
      <c r="AM101">
        <v>94704.281055566069</v>
      </c>
      <c r="AN101">
        <v>102779.8399052655</v>
      </c>
      <c r="AO101">
        <v>50412.76317497524</v>
      </c>
      <c r="AP101">
        <v>66359.657648691908</v>
      </c>
      <c r="AQ101">
        <v>72018.233107107488</v>
      </c>
      <c r="AR101">
        <v>113867.81778409085</v>
      </c>
      <c r="AS101">
        <v>149887.22953211959</v>
      </c>
      <c r="AT101">
        <v>162668.31112012977</v>
      </c>
    </row>
    <row r="102" spans="1:46" x14ac:dyDescent="0.25">
      <c r="A102" s="8">
        <v>44648</v>
      </c>
      <c r="B102">
        <v>-2.0369986258996921E-2</v>
      </c>
      <c r="C102">
        <v>-7.3133211142689027E-3</v>
      </c>
      <c r="D102">
        <v>-1.3487047578531504E-2</v>
      </c>
      <c r="R102">
        <v>99</v>
      </c>
      <c r="S102">
        <v>440510.47161608154</v>
      </c>
      <c r="T102">
        <v>579855.62080076046</v>
      </c>
      <c r="U102">
        <v>629300.67373725935</v>
      </c>
      <c r="V102">
        <v>395382.27421165229</v>
      </c>
      <c r="W102">
        <v>520452.17727860354</v>
      </c>
      <c r="X102">
        <v>564831.82030236034</v>
      </c>
      <c r="Y102">
        <v>804155.42158568883</v>
      </c>
      <c r="Z102">
        <v>1058531.1161689169</v>
      </c>
      <c r="AA102">
        <v>1148793.4594081268</v>
      </c>
      <c r="AK102">
        <v>99</v>
      </c>
      <c r="AL102">
        <v>72312.02713256795</v>
      </c>
      <c r="AM102">
        <v>95186.239796951704</v>
      </c>
      <c r="AN102">
        <v>103302.8959036685</v>
      </c>
      <c r="AO102">
        <v>50669.318334032163</v>
      </c>
      <c r="AP102">
        <v>66697.368011123981</v>
      </c>
      <c r="AQ102">
        <v>72384.740477188796</v>
      </c>
      <c r="AR102">
        <v>114447.30151525763</v>
      </c>
      <c r="AS102">
        <v>150650.01934151258</v>
      </c>
      <c r="AT102">
        <v>163496.1450217966</v>
      </c>
    </row>
    <row r="103" spans="1:46" x14ac:dyDescent="0.25">
      <c r="A103" s="9">
        <v>44649</v>
      </c>
      <c r="B103">
        <v>8.8231051939848468E-3</v>
      </c>
      <c r="C103">
        <v>-6.5618220305427759E-3</v>
      </c>
      <c r="D103">
        <v>6.6204684699636921E-4</v>
      </c>
      <c r="R103">
        <v>100</v>
      </c>
      <c r="S103">
        <v>442729.68199183175</v>
      </c>
      <c r="T103">
        <v>582776.82629537035</v>
      </c>
      <c r="U103">
        <v>632470.97427404532</v>
      </c>
      <c r="V103">
        <v>397374.1370658977</v>
      </c>
      <c r="W103">
        <v>523074.11919898778</v>
      </c>
      <c r="X103">
        <v>567677.33866556804</v>
      </c>
      <c r="Y103">
        <v>808206.60803933127</v>
      </c>
      <c r="Z103">
        <v>1063863.8003783035</v>
      </c>
      <c r="AA103">
        <v>1154580.868627616</v>
      </c>
      <c r="AK103">
        <v>100</v>
      </c>
      <c r="AL103">
        <v>72676.321766280962</v>
      </c>
      <c r="AM103">
        <v>95665.770488267808</v>
      </c>
      <c r="AN103">
        <v>103823.3168089728</v>
      </c>
      <c r="AO103">
        <v>50924.580999109225</v>
      </c>
      <c r="AP103">
        <v>67033.377029439696</v>
      </c>
      <c r="AQ103">
        <v>72749.401427298886</v>
      </c>
      <c r="AR103">
        <v>115023.86587720684</v>
      </c>
      <c r="AS103">
        <v>151408.96630775186</v>
      </c>
      <c r="AT103">
        <v>164319.80839600976</v>
      </c>
    </row>
    <row r="104" spans="1:46" x14ac:dyDescent="0.25">
      <c r="A104" s="8">
        <v>44650</v>
      </c>
      <c r="B104">
        <v>3.4983617328485789E-2</v>
      </c>
      <c r="C104">
        <v>-2.57303474341356E-2</v>
      </c>
      <c r="D104">
        <v>3.009906074588758E-3</v>
      </c>
    </row>
    <row r="105" spans="1:46" x14ac:dyDescent="0.25">
      <c r="A105" s="9">
        <v>44651</v>
      </c>
      <c r="B105">
        <v>-2.8217073392878756E-2</v>
      </c>
      <c r="C105">
        <v>-3.1648656394453037E-2</v>
      </c>
      <c r="D105">
        <v>-2.9972460543288868E-2</v>
      </c>
    </row>
    <row r="106" spans="1:46" x14ac:dyDescent="0.25">
      <c r="A106" s="8">
        <v>44652</v>
      </c>
      <c r="B106">
        <v>2.608698274356424E-2</v>
      </c>
      <c r="C106">
        <v>2.5904540352767347E-2</v>
      </c>
      <c r="D106">
        <v>2.5993817685898996E-2</v>
      </c>
    </row>
    <row r="107" spans="1:46" x14ac:dyDescent="0.25">
      <c r="A107" s="9">
        <v>44655</v>
      </c>
      <c r="B107">
        <v>2.0368718507130061E-2</v>
      </c>
      <c r="C107">
        <v>1.4269069923830836E-3</v>
      </c>
      <c r="D107">
        <v>1.0696835800220187E-2</v>
      </c>
    </row>
    <row r="108" spans="1:46" x14ac:dyDescent="0.25">
      <c r="A108" s="8">
        <v>44656</v>
      </c>
      <c r="B108">
        <v>5.0949565549320452E-2</v>
      </c>
      <c r="C108">
        <v>3.8658152905727404E-2</v>
      </c>
      <c r="D108">
        <v>4.4731007978318138E-2</v>
      </c>
    </row>
    <row r="109" spans="1:46" x14ac:dyDescent="0.25">
      <c r="A109" s="9">
        <v>44657</v>
      </c>
      <c r="B109">
        <v>-2.3800761997394403E-2</v>
      </c>
      <c r="C109">
        <v>-1.9742912646463988E-2</v>
      </c>
      <c r="D109">
        <v>-2.1759720053692286E-2</v>
      </c>
    </row>
    <row r="110" spans="1:46" x14ac:dyDescent="0.25">
      <c r="A110" s="8">
        <v>44658</v>
      </c>
      <c r="B110">
        <v>-3.427539240212836E-2</v>
      </c>
      <c r="C110">
        <v>-2.5951498214417786E-2</v>
      </c>
      <c r="D110">
        <v>-3.0079957271329352E-2</v>
      </c>
    </row>
    <row r="111" spans="1:46" x14ac:dyDescent="0.25">
      <c r="A111" s="9">
        <v>44659</v>
      </c>
      <c r="B111">
        <v>1.4510475648059325E-2</v>
      </c>
      <c r="C111">
        <v>-1.6335616362623453E-2</v>
      </c>
      <c r="D111">
        <v>-1.1028442573468714E-3</v>
      </c>
    </row>
    <row r="112" spans="1:46" x14ac:dyDescent="0.25">
      <c r="A112" s="8">
        <v>44662</v>
      </c>
      <c r="B112">
        <v>-5.7066915540955568E-2</v>
      </c>
      <c r="C112">
        <v>-4.2390392457793011E-2</v>
      </c>
      <c r="D112">
        <v>-4.9751408027048777E-2</v>
      </c>
    </row>
    <row r="113" spans="1:4" x14ac:dyDescent="0.25">
      <c r="A113" s="9">
        <v>44663</v>
      </c>
      <c r="B113">
        <v>-3.7204028068074234E-2</v>
      </c>
      <c r="C113">
        <v>-5.1395585476964739E-3</v>
      </c>
      <c r="D113">
        <v>-2.1097697887915649E-2</v>
      </c>
    </row>
    <row r="114" spans="1:4" x14ac:dyDescent="0.25">
      <c r="A114" s="8">
        <v>44664</v>
      </c>
      <c r="B114">
        <v>-1.0272556677864763E-2</v>
      </c>
      <c r="C114">
        <v>4.7329033921039345E-3</v>
      </c>
      <c r="D114">
        <v>-2.6122762839187225E-3</v>
      </c>
    </row>
    <row r="115" spans="1:4" x14ac:dyDescent="0.25">
      <c r="A115" s="9">
        <v>44665</v>
      </c>
      <c r="B115">
        <v>3.9150304476745994E-2</v>
      </c>
      <c r="C115">
        <v>2.1728272480546408E-2</v>
      </c>
      <c r="D115">
        <v>3.0190866554839765E-2</v>
      </c>
    </row>
    <row r="116" spans="1:4" x14ac:dyDescent="0.25">
      <c r="A116" s="8">
        <v>44669</v>
      </c>
      <c r="B116">
        <v>-1.4076494624571624E-2</v>
      </c>
      <c r="C116">
        <v>-2.3831155844155797E-2</v>
      </c>
      <c r="D116">
        <v>-1.9051709752885816E-2</v>
      </c>
    </row>
    <row r="117" spans="1:4" x14ac:dyDescent="0.25">
      <c r="A117" s="9">
        <v>44670</v>
      </c>
      <c r="B117">
        <v>-2.5195318492344711E-3</v>
      </c>
      <c r="C117">
        <v>5.3548359561652725E-3</v>
      </c>
      <c r="D117">
        <v>1.4771004862815169E-3</v>
      </c>
    </row>
    <row r="118" spans="1:4" x14ac:dyDescent="0.25">
      <c r="A118" s="8">
        <v>44671</v>
      </c>
      <c r="B118">
        <v>2.9311198386103257E-2</v>
      </c>
      <c r="C118">
        <v>8.4362261977650906E-3</v>
      </c>
      <c r="D118">
        <v>1.8675089985653506E-2</v>
      </c>
    </row>
    <row r="119" spans="1:4" x14ac:dyDescent="0.25">
      <c r="A119" s="9">
        <v>44672</v>
      </c>
      <c r="B119">
        <v>-8.7269971760634835E-2</v>
      </c>
      <c r="C119">
        <v>-7.6143368109036172E-2</v>
      </c>
      <c r="D119">
        <v>-8.165778364792449E-2</v>
      </c>
    </row>
    <row r="120" spans="1:4" x14ac:dyDescent="0.25">
      <c r="A120" s="8">
        <v>44673</v>
      </c>
      <c r="B120">
        <v>-0.12306055633820956</v>
      </c>
      <c r="C120">
        <v>-9.7510715040874718E-2</v>
      </c>
      <c r="D120">
        <v>-0.11009599461353467</v>
      </c>
    </row>
    <row r="121" spans="1:4" x14ac:dyDescent="0.25">
      <c r="A121" s="9">
        <v>44676</v>
      </c>
      <c r="B121">
        <v>-1.8714825226300757E-2</v>
      </c>
      <c r="C121">
        <v>-1.0112107262139007E-2</v>
      </c>
      <c r="D121">
        <v>-1.4287879366452384E-2</v>
      </c>
    </row>
    <row r="122" spans="1:4" x14ac:dyDescent="0.25">
      <c r="A122" s="8">
        <v>44677</v>
      </c>
      <c r="B122">
        <v>2.5841312704507145E-2</v>
      </c>
      <c r="C122">
        <v>7.5920303077189298E-3</v>
      </c>
      <c r="D122">
        <v>1.6410475827087042E-2</v>
      </c>
    </row>
    <row r="123" spans="1:4" x14ac:dyDescent="0.25">
      <c r="A123" s="9">
        <v>44678</v>
      </c>
      <c r="B123">
        <v>-2.3921344266953897E-2</v>
      </c>
      <c r="C123">
        <v>-3.4439267141913518E-2</v>
      </c>
      <c r="D123">
        <v>-2.9309622516147004E-2</v>
      </c>
    </row>
    <row r="124" spans="1:4" x14ac:dyDescent="0.25">
      <c r="A124" s="8">
        <v>44679</v>
      </c>
      <c r="B124">
        <v>7.7228140450781385E-2</v>
      </c>
      <c r="C124">
        <v>1.9284201243753074E-2</v>
      </c>
      <c r="D124">
        <v>4.7700623987557408E-2</v>
      </c>
    </row>
    <row r="125" spans="1:4" x14ac:dyDescent="0.25">
      <c r="B125">
        <v>-7.4829880370471174E-3</v>
      </c>
      <c r="C125">
        <v>1.9761135477972296E-2</v>
      </c>
      <c r="D125">
        <v>6.0237300246614497E-3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24EEEC-39B0-46C8-BD5E-85CB97B5017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Solutions and last graphs</vt:lpstr>
      <vt:lpstr>First three 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martino</dc:creator>
  <cp:lastModifiedBy>Ivan Padezhki</cp:lastModifiedBy>
  <dcterms:created xsi:type="dcterms:W3CDTF">2016-05-13T15:46:46Z</dcterms:created>
  <dcterms:modified xsi:type="dcterms:W3CDTF">2022-05-06T18:42:37Z</dcterms:modified>
</cp:coreProperties>
</file>