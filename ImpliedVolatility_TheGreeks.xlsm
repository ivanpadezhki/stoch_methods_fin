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_\Desktop\DS\second\finance\rep4\"/>
    </mc:Choice>
  </mc:AlternateContent>
  <xr:revisionPtr revIDLastSave="0" documentId="13_ncr:1_{FB3CB955-8976-4403-835A-060261629F72}" xr6:coauthVersionLast="47" xr6:coauthVersionMax="47" xr10:uidLastSave="{00000000-0000-0000-0000-000000000000}"/>
  <bookViews>
    <workbookView xWindow="-120" yWindow="-120" windowWidth="20730" windowHeight="11160" activeTab="1" xr2:uid="{8ACA1E89-1232-4786-AC40-90BBF73B012B}"/>
  </bookViews>
  <sheets>
    <sheet name="Implied Vol &amp; Greeks" sheetId="9" r:id="rId1"/>
    <sheet name="Part 3" sheetId="11" r:id="rId2"/>
    <sheet name="Jan 19, 2024" sheetId="8" r:id="rId3"/>
    <sheet name="Jan 20, 2023" sheetId="7" r:id="rId4"/>
    <sheet name="Sep 16, 2022" sheetId="6" r:id="rId5"/>
    <sheet name="June 17, 2022" sheetId="5" r:id="rId6"/>
    <sheet name="May 20, 2022" sheetId="4" r:id="rId7"/>
    <sheet name="April 14, 2022" sheetId="3" r:id="rId8"/>
    <sheet name="April 8, 2022" sheetId="2" r:id="rId9"/>
  </sheets>
  <functionGroups builtInGroupCount="19"/>
  <definedNames>
    <definedName name="ExternalData_1" localSheetId="8" hidden="1">'April 8, 2022'!$A$1:$K$31</definedName>
    <definedName name="ExternalData_2" localSheetId="7" hidden="1">'April 14, 2022'!$A$1:$K$34</definedName>
    <definedName name="ExternalData_3" localSheetId="6" hidden="1">'May 20, 2022'!$A$1:$K$21</definedName>
    <definedName name="ExternalData_4" localSheetId="5" hidden="1">'June 17, 2022'!$A$1:$K$39</definedName>
    <definedName name="ExternalData_5" localSheetId="4" hidden="1">'Sep 16, 2022'!$A$1:$K$23</definedName>
    <definedName name="ExternalData_6" localSheetId="3" hidden="1">'Jan 20, 2023'!$A$1:$K$45</definedName>
    <definedName name="ExternalData_7" localSheetId="2" hidden="1">'Jan 19, 2024'!$A$1:$K$41</definedName>
    <definedName name="ExternalData_8" localSheetId="0" hidden="1">'Implied Vol &amp; Greeks'!$A$1:$H$12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4" i="9" l="1" a="1"/>
  <c r="H30" i="9" a="1"/>
  <c r="H25" i="9" a="1"/>
  <c r="H29" i="9" a="1"/>
  <c r="H33" i="9" a="1"/>
  <c r="H26" i="9" a="1"/>
  <c r="H28" i="9" a="1"/>
  <c r="H32" i="9" a="1"/>
  <c r="G24" i="9" a="1"/>
  <c r="G26" i="9" a="1"/>
  <c r="G28" i="9" a="1"/>
  <c r="G30" i="9" a="1"/>
  <c r="G32" i="9" a="1"/>
  <c r="G27" i="9" a="1"/>
  <c r="G29" i="9" a="1"/>
  <c r="G31" i="9" a="1"/>
  <c r="G25" i="9" a="1"/>
  <c r="G33" i="9" a="1"/>
  <c r="G23" i="9" a="1"/>
  <c r="F24" i="9" a="1"/>
  <c r="F26" i="9" a="1"/>
  <c r="F28" i="9" a="1"/>
  <c r="F30" i="9" a="1"/>
  <c r="F32" i="9" a="1"/>
  <c r="F31" i="9" a="1"/>
  <c r="F25" i="9" a="1"/>
  <c r="F27" i="9" a="1"/>
  <c r="F29" i="9" a="1"/>
  <c r="F33" i="9" a="1"/>
  <c r="F23" i="9" a="1"/>
  <c r="D23" i="9" a="1"/>
  <c r="C23" i="9" a="1"/>
  <c r="D24" i="9" a="1"/>
  <c r="D26" i="9" a="1"/>
  <c r="D28" i="9" a="1"/>
  <c r="D30" i="9" a="1"/>
  <c r="D32" i="9" a="1"/>
  <c r="D29" i="9" a="1"/>
  <c r="D33" i="9" a="1"/>
  <c r="D25" i="9" a="1"/>
  <c r="D27" i="9" a="1"/>
  <c r="D31" i="9" a="1"/>
  <c r="E24" i="9" a="1"/>
  <c r="E28" i="9" a="1"/>
  <c r="E30" i="9" a="1"/>
  <c r="E32" i="9" a="1"/>
  <c r="E33" i="9" a="1"/>
  <c r="E25" i="9" a="1"/>
  <c r="E27" i="9" a="1"/>
  <c r="E29" i="9" a="1"/>
  <c r="E31" i="9" a="1"/>
  <c r="C24" i="9" a="1"/>
  <c r="C26" i="9" a="1"/>
  <c r="C28" i="9" a="1"/>
  <c r="C30" i="9" a="1"/>
  <c r="C32" i="9" a="1"/>
  <c r="C25" i="9" a="1"/>
  <c r="C27" i="9" a="1"/>
  <c r="C29" i="9" a="1"/>
  <c r="C31" i="9" a="1"/>
  <c r="C33" i="9" a="1"/>
  <c r="B25" i="9" a="1"/>
  <c r="B24" i="9" a="1"/>
  <c r="B26" i="9" a="1"/>
  <c r="B28" i="9" a="1"/>
  <c r="B30" i="9" a="1"/>
  <c r="B32" i="9" a="1"/>
  <c r="B27" i="9" a="1"/>
  <c r="B29" i="9" a="1"/>
  <c r="B31" i="9" a="1"/>
  <c r="B33" i="9" a="1"/>
  <c r="B23" i="9" a="1"/>
  <c r="H84" i="9" a="1"/>
  <c r="H86" i="9" a="1"/>
  <c r="H88" i="9" a="1"/>
  <c r="H90" i="9" a="1"/>
  <c r="H92" i="9" a="1"/>
  <c r="H93" i="9" a="1"/>
  <c r="H85" i="9" a="1"/>
  <c r="H87" i="9" a="1"/>
  <c r="H89" i="9" a="1"/>
  <c r="H91" i="9" a="1"/>
  <c r="G84" i="9" a="1"/>
  <c r="G86" i="9" a="1"/>
  <c r="G88" i="9" a="1"/>
  <c r="G90" i="9" a="1"/>
  <c r="G92" i="9" a="1"/>
  <c r="G87" i="9" a="1"/>
  <c r="G89" i="9" a="1"/>
  <c r="G93" i="9" a="1"/>
  <c r="G85" i="9" a="1"/>
  <c r="G91" i="9" a="1"/>
  <c r="G83" i="9" a="1"/>
  <c r="F84" i="9" a="1"/>
  <c r="F86" i="9" a="1"/>
  <c r="F90" i="9" a="1"/>
  <c r="F85" i="9" a="1"/>
  <c r="F87" i="9" a="1"/>
  <c r="F89" i="9" a="1"/>
  <c r="F91" i="9" a="1"/>
  <c r="F93" i="9" a="1"/>
  <c r="F88" i="9" a="1"/>
  <c r="F92" i="9" a="1"/>
  <c r="F83" i="9" a="1"/>
  <c r="E85" i="9" a="1"/>
  <c r="E87" i="9" a="1"/>
  <c r="E89" i="9" a="1"/>
  <c r="E91" i="9" a="1"/>
  <c r="E93" i="9" a="1"/>
  <c r="E84" i="9" a="1"/>
  <c r="E86" i="9" a="1"/>
  <c r="E88" i="9" a="1"/>
  <c r="E90" i="9" a="1"/>
  <c r="E92" i="9" a="1"/>
  <c r="E83" i="9" a="1"/>
  <c r="D84" i="9" a="1"/>
  <c r="D86" i="9" a="1"/>
  <c r="D90" i="9" a="1"/>
  <c r="D85" i="9" a="1"/>
  <c r="D87" i="9" a="1"/>
  <c r="D89" i="9" a="1"/>
  <c r="D91" i="9" a="1"/>
  <c r="D93" i="9" a="1"/>
  <c r="D88" i="9" a="1"/>
  <c r="D92" i="9" a="1"/>
  <c r="D83" i="9" a="1"/>
  <c r="C84" i="9" a="1"/>
  <c r="C86" i="9" a="1"/>
  <c r="C88" i="9" a="1"/>
  <c r="C90" i="9" a="1"/>
  <c r="C92" i="9" a="1"/>
  <c r="C91" i="9" a="1"/>
  <c r="C85" i="9" a="1"/>
  <c r="C87" i="9" a="1"/>
  <c r="C89" i="9" a="1"/>
  <c r="C93" i="9" a="1"/>
  <c r="C83" i="9" a="1"/>
  <c r="B84" i="9" a="1"/>
  <c r="B86" i="9" a="1"/>
  <c r="B88" i="9" a="1"/>
  <c r="B90" i="9" a="1"/>
  <c r="B92" i="9" a="1"/>
  <c r="B87" i="9" a="1"/>
  <c r="B93" i="9" a="1"/>
  <c r="B85" i="9" a="1"/>
  <c r="B89" i="9" a="1"/>
  <c r="B91" i="9" a="1"/>
  <c r="B83" i="9" a="1"/>
  <c r="H69" i="9" a="1"/>
  <c r="H71" i="9" a="1"/>
  <c r="H73" i="9" a="1"/>
  <c r="H75" i="9" a="1"/>
  <c r="H77" i="9" a="1"/>
  <c r="H70" i="9" a="1"/>
  <c r="H72" i="9" a="1"/>
  <c r="H74" i="9" a="1"/>
  <c r="H76" i="9" a="1"/>
  <c r="H78" i="9" a="1"/>
  <c r="H68" i="9" a="1"/>
  <c r="G69" i="9" a="1"/>
  <c r="G71" i="9" a="1"/>
  <c r="G73" i="9" a="1"/>
  <c r="G75" i="9" a="1"/>
  <c r="G77" i="9" a="1"/>
  <c r="G72" i="9" a="1"/>
  <c r="G74" i="9" a="1"/>
  <c r="G78" i="9" a="1"/>
  <c r="G70" i="9" a="1"/>
  <c r="G76" i="9" a="1"/>
  <c r="G68" i="9" a="1"/>
  <c r="F69" i="9" a="1"/>
  <c r="F71" i="9" a="1"/>
  <c r="F73" i="9" a="1"/>
  <c r="F75" i="9" a="1"/>
  <c r="F77" i="9" a="1"/>
  <c r="F70" i="9" a="1"/>
  <c r="F72" i="9" a="1"/>
  <c r="F74" i="9" a="1"/>
  <c r="F76" i="9" a="1"/>
  <c r="F78" i="9" a="1"/>
  <c r="F68" i="9" a="1"/>
  <c r="E69" i="9" a="1"/>
  <c r="E71" i="9" a="1"/>
  <c r="E73" i="9" a="1"/>
  <c r="E75" i="9" a="1"/>
  <c r="E77" i="9" a="1"/>
  <c r="E70" i="9" a="1"/>
  <c r="E72" i="9" a="1"/>
  <c r="E74" i="9" a="1"/>
  <c r="E76" i="9" a="1"/>
  <c r="E78" i="9" a="1"/>
  <c r="E68" i="9" a="1"/>
  <c r="D69" i="9" a="1"/>
  <c r="D71" i="9" a="1"/>
  <c r="D73" i="9" a="1"/>
  <c r="D75" i="9" a="1"/>
  <c r="D77" i="9" a="1"/>
  <c r="D70" i="9" a="1"/>
  <c r="D72" i="9" a="1"/>
  <c r="D74" i="9" a="1"/>
  <c r="D76" i="9" a="1"/>
  <c r="D78" i="9" a="1"/>
  <c r="D68" i="9" a="1"/>
  <c r="C69" i="9" a="1"/>
  <c r="C71" i="9" a="1"/>
  <c r="C73" i="9" a="1"/>
  <c r="C75" i="9" a="1"/>
  <c r="C77" i="9" a="1"/>
  <c r="C70" i="9" a="1"/>
  <c r="C72" i="9" a="1"/>
  <c r="C74" i="9" a="1"/>
  <c r="C76" i="9" a="1"/>
  <c r="C78" i="9" a="1"/>
  <c r="C68" i="9" a="1"/>
  <c r="B69" i="9" a="1"/>
  <c r="B71" i="9" a="1"/>
  <c r="B73" i="9" a="1"/>
  <c r="B72" i="9" a="1"/>
  <c r="B78" i="9" a="1"/>
  <c r="B77" i="9" a="1"/>
  <c r="B70" i="9" a="1"/>
  <c r="B74" i="9" a="1"/>
  <c r="B76" i="9" a="1"/>
  <c r="B75" i="9" a="1"/>
  <c r="E59" i="9" a="1"/>
  <c r="H54" i="9" a="1"/>
  <c r="H56" i="9" a="1"/>
  <c r="H58" i="9" a="1"/>
  <c r="H60" i="9" a="1"/>
  <c r="H62" i="9" a="1"/>
  <c r="H63" i="9" a="1"/>
  <c r="H55" i="9" a="1"/>
  <c r="H57" i="9" a="1"/>
  <c r="H59" i="9" a="1"/>
  <c r="H61" i="9" a="1"/>
  <c r="H53" i="9" a="1"/>
  <c r="G54" i="9" a="1"/>
  <c r="G56" i="9" a="1"/>
  <c r="G60" i="9" a="1"/>
  <c r="G55" i="9" a="1"/>
  <c r="G57" i="9" a="1"/>
  <c r="G59" i="9" a="1"/>
  <c r="G61" i="9" a="1"/>
  <c r="G63" i="9" a="1"/>
  <c r="G58" i="9" a="1"/>
  <c r="G62" i="9" a="1"/>
  <c r="G53" i="9" a="1"/>
  <c r="F54" i="9" a="1"/>
  <c r="F56" i="9" a="1"/>
  <c r="F58" i="9" a="1"/>
  <c r="F60" i="9" a="1"/>
  <c r="F62" i="9" a="1"/>
  <c r="F57" i="9" a="1"/>
  <c r="F61" i="9" a="1"/>
  <c r="F63" i="9" a="1"/>
  <c r="F55" i="9" a="1"/>
  <c r="F59" i="9" a="1"/>
  <c r="F53" i="9" a="1"/>
  <c r="E54" i="9" a="1"/>
  <c r="E56" i="9" a="1"/>
  <c r="E58" i="9" a="1"/>
  <c r="E60" i="9" a="1"/>
  <c r="E62" i="9" a="1"/>
  <c r="E55" i="9" a="1"/>
  <c r="E57" i="9" a="1"/>
  <c r="E61" i="9" a="1"/>
  <c r="E63" i="9" a="1"/>
  <c r="E53" i="9" a="1"/>
  <c r="D54" i="9" a="1"/>
  <c r="D56" i="9" a="1"/>
  <c r="D58" i="9" a="1"/>
  <c r="D60" i="9" a="1"/>
  <c r="D62" i="9" a="1"/>
  <c r="D55" i="9" a="1"/>
  <c r="D57" i="9" a="1"/>
  <c r="D59" i="9" a="1"/>
  <c r="D61" i="9" a="1"/>
  <c r="D63" i="9" a="1"/>
  <c r="D53" i="9" a="1"/>
  <c r="C54" i="9" a="1"/>
  <c r="C56" i="9" a="1"/>
  <c r="C58" i="9" a="1"/>
  <c r="C60" i="9" a="1"/>
  <c r="C62" i="9" a="1"/>
  <c r="C57" i="9" a="1"/>
  <c r="C55" i="9" a="1"/>
  <c r="C59" i="9" a="1"/>
  <c r="C61" i="9" a="1"/>
  <c r="C63" i="9" a="1"/>
  <c r="C53" i="9" a="1"/>
  <c r="B54" i="9" a="1"/>
  <c r="B56" i="9" a="1"/>
  <c r="B58" i="9" a="1"/>
  <c r="B60" i="9" a="1"/>
  <c r="B62" i="9" a="1"/>
  <c r="B55" i="9" a="1"/>
  <c r="B57" i="9" a="1"/>
  <c r="B59" i="9" a="1"/>
  <c r="B61" i="9" a="1"/>
  <c r="B63" i="9" a="1"/>
  <c r="B53" i="9" a="1"/>
  <c r="H39" i="9" a="1"/>
  <c r="H43" i="9" a="1"/>
  <c r="H40" i="9" a="1"/>
  <c r="H42" i="9" a="1"/>
  <c r="H44" i="9" a="1"/>
  <c r="H46" i="9" a="1"/>
  <c r="H48" i="9" a="1"/>
  <c r="H41" i="9" a="1"/>
  <c r="H45" i="9" a="1"/>
  <c r="H47" i="9" a="1"/>
  <c r="H38" i="9" a="1"/>
  <c r="G39" i="9" a="1"/>
  <c r="G41" i="9" a="1"/>
  <c r="G43" i="9" a="1"/>
  <c r="G45" i="9" a="1"/>
  <c r="G47" i="9" a="1"/>
  <c r="G40" i="9" a="1"/>
  <c r="G42" i="9" a="1"/>
  <c r="G44" i="9" a="1"/>
  <c r="G46" i="9" a="1"/>
  <c r="G48" i="9" a="1"/>
  <c r="G38" i="9" a="1"/>
  <c r="F39" i="9" a="1"/>
  <c r="F41" i="9" a="1"/>
  <c r="F43" i="9" a="1"/>
  <c r="F45" i="9" a="1"/>
  <c r="F47" i="9" a="1"/>
  <c r="F42" i="9" a="1"/>
  <c r="F44" i="9" a="1"/>
  <c r="F46" i="9" a="1"/>
  <c r="F48" i="9" a="1"/>
  <c r="F40" i="9" a="1"/>
  <c r="F38" i="9" a="1"/>
  <c r="E39" i="9" a="1"/>
  <c r="E41" i="9" a="1"/>
  <c r="E43" i="9" a="1"/>
  <c r="E45" i="9" a="1"/>
  <c r="E47" i="9" a="1"/>
  <c r="E40" i="9" a="1"/>
  <c r="E42" i="9" a="1"/>
  <c r="E44" i="9" a="1"/>
  <c r="E46" i="9" a="1"/>
  <c r="E48" i="9" a="1"/>
  <c r="E38" i="9" a="1"/>
  <c r="H31" i="9" a="1"/>
  <c r="E26" i="9" a="1"/>
  <c r="D39" i="9" a="1"/>
  <c r="D41" i="9" a="1"/>
  <c r="D43" i="9" a="1"/>
  <c r="D45" i="9" a="1"/>
  <c r="D47" i="9" a="1"/>
  <c r="D44" i="9" a="1"/>
  <c r="D46" i="9" a="1"/>
  <c r="D48" i="9" a="1"/>
  <c r="D40" i="9" a="1"/>
  <c r="D42" i="9" a="1"/>
  <c r="D38" i="9" a="1"/>
  <c r="C39" i="9" a="1"/>
  <c r="C41" i="9" a="1"/>
  <c r="C43" i="9" a="1"/>
  <c r="C45" i="9" a="1"/>
  <c r="C47" i="9" a="1"/>
  <c r="C42" i="9" a="1"/>
  <c r="C46" i="9" a="1"/>
  <c r="C40" i="9" a="1"/>
  <c r="C44" i="9" a="1"/>
  <c r="C48" i="9" a="1"/>
  <c r="C38" i="9" a="1"/>
  <c r="H27" i="9" a="1"/>
  <c r="I15" i="11" a="1"/>
  <c r="I17" i="11" a="1"/>
  <c r="I19" i="11" a="1"/>
  <c r="I18" i="11" a="1"/>
  <c r="I20" i="11" a="1"/>
  <c r="I16" i="11" a="1"/>
  <c r="I14" i="11" a="1"/>
  <c r="B68" i="9" a="1"/>
  <c r="H23" i="9" a="1"/>
  <c r="E23" i="9" a="1"/>
  <c r="H83" i="9" a="1"/>
  <c r="B39" i="9" a="1"/>
  <c r="B41" i="9" a="1"/>
  <c r="B43" i="9" a="1"/>
  <c r="B45" i="9" a="1"/>
  <c r="B47" i="9" a="1"/>
  <c r="B42" i="9" a="1"/>
  <c r="B44" i="9" a="1"/>
  <c r="B46" i="9" a="1"/>
  <c r="B40" i="9" a="1"/>
  <c r="B48" i="9" a="1"/>
  <c r="B38" i="9" a="1"/>
  <c r="B68" i="9" l="1"/>
  <c r="H23" i="9"/>
  <c r="E23" i="9"/>
  <c r="H83" i="9"/>
  <c r="B48" i="9"/>
  <c r="B40" i="9"/>
  <c r="B46" i="9"/>
  <c r="B44" i="9"/>
  <c r="B42" i="9"/>
  <c r="B47" i="9"/>
  <c r="B45" i="9"/>
  <c r="B43" i="9"/>
  <c r="B41" i="9"/>
  <c r="B39" i="9"/>
  <c r="B38" i="9"/>
  <c r="H91" i="9"/>
  <c r="H89" i="9"/>
  <c r="H87" i="9"/>
  <c r="H85" i="9"/>
  <c r="H93" i="9"/>
  <c r="H92" i="9"/>
  <c r="H90" i="9"/>
  <c r="H88" i="9"/>
  <c r="H86" i="9"/>
  <c r="H84" i="9"/>
  <c r="G91" i="9"/>
  <c r="G85" i="9"/>
  <c r="G93" i="9"/>
  <c r="G89" i="9"/>
  <c r="G87" i="9"/>
  <c r="G92" i="9"/>
  <c r="G90" i="9"/>
  <c r="G88" i="9"/>
  <c r="G86" i="9"/>
  <c r="G84" i="9"/>
  <c r="G83" i="9"/>
  <c r="F92" i="9"/>
  <c r="F88" i="9"/>
  <c r="F93" i="9"/>
  <c r="F91" i="9"/>
  <c r="F89" i="9"/>
  <c r="F87" i="9"/>
  <c r="F85" i="9"/>
  <c r="F90" i="9"/>
  <c r="F86" i="9"/>
  <c r="F84" i="9"/>
  <c r="F83" i="9"/>
  <c r="E92" i="9"/>
  <c r="E90" i="9"/>
  <c r="E88" i="9"/>
  <c r="E86" i="9"/>
  <c r="E84" i="9"/>
  <c r="E93" i="9"/>
  <c r="E91" i="9"/>
  <c r="E89" i="9"/>
  <c r="E87" i="9"/>
  <c r="E85" i="9"/>
  <c r="E83" i="9"/>
  <c r="D92" i="9"/>
  <c r="D88" i="9"/>
  <c r="D93" i="9"/>
  <c r="D91" i="9"/>
  <c r="D89" i="9"/>
  <c r="D87" i="9"/>
  <c r="D85" i="9"/>
  <c r="D90" i="9"/>
  <c r="D86" i="9"/>
  <c r="D84" i="9"/>
  <c r="D83" i="9"/>
  <c r="C93" i="9"/>
  <c r="C89" i="9"/>
  <c r="C87" i="9"/>
  <c r="C85" i="9"/>
  <c r="C91" i="9"/>
  <c r="C92" i="9"/>
  <c r="C90" i="9"/>
  <c r="C88" i="9"/>
  <c r="C86" i="9"/>
  <c r="C84" i="9"/>
  <c r="C83" i="9"/>
  <c r="B91" i="9"/>
  <c r="B89" i="9"/>
  <c r="B85" i="9"/>
  <c r="B93" i="9"/>
  <c r="B87" i="9"/>
  <c r="B92" i="9"/>
  <c r="B90" i="9"/>
  <c r="B88" i="9"/>
  <c r="B86" i="9"/>
  <c r="B84" i="9"/>
  <c r="B83" i="9"/>
  <c r="H78" i="9"/>
  <c r="H76" i="9"/>
  <c r="H74" i="9"/>
  <c r="H72" i="9"/>
  <c r="H70" i="9"/>
  <c r="H77" i="9"/>
  <c r="H75" i="9"/>
  <c r="H73" i="9"/>
  <c r="H71" i="9"/>
  <c r="H69" i="9"/>
  <c r="H68" i="9"/>
  <c r="G76" i="9"/>
  <c r="G70" i="9"/>
  <c r="G78" i="9"/>
  <c r="G74" i="9"/>
  <c r="G72" i="9"/>
  <c r="G77" i="9"/>
  <c r="G75" i="9"/>
  <c r="G73" i="9"/>
  <c r="G71" i="9"/>
  <c r="G69" i="9"/>
  <c r="G68" i="9"/>
  <c r="F78" i="9"/>
  <c r="F76" i="9"/>
  <c r="F74" i="9"/>
  <c r="F72" i="9"/>
  <c r="F70" i="9"/>
  <c r="F77" i="9"/>
  <c r="F75" i="9"/>
  <c r="F73" i="9"/>
  <c r="F71" i="9"/>
  <c r="F69" i="9"/>
  <c r="F68" i="9"/>
  <c r="E78" i="9"/>
  <c r="E76" i="9"/>
  <c r="E74" i="9"/>
  <c r="E72" i="9"/>
  <c r="E70" i="9"/>
  <c r="E77" i="9"/>
  <c r="E75" i="9"/>
  <c r="E73" i="9"/>
  <c r="E71" i="9"/>
  <c r="E69" i="9"/>
  <c r="E68" i="9"/>
  <c r="D78" i="9"/>
  <c r="D76" i="9"/>
  <c r="D74" i="9"/>
  <c r="D72" i="9"/>
  <c r="D70" i="9"/>
  <c r="D77" i="9"/>
  <c r="D75" i="9"/>
  <c r="D73" i="9"/>
  <c r="D71" i="9"/>
  <c r="D69" i="9"/>
  <c r="D68" i="9"/>
  <c r="C78" i="9"/>
  <c r="C76" i="9"/>
  <c r="C74" i="9"/>
  <c r="C72" i="9"/>
  <c r="C70" i="9"/>
  <c r="C77" i="9"/>
  <c r="C75" i="9"/>
  <c r="C73" i="9"/>
  <c r="C71" i="9"/>
  <c r="C69" i="9"/>
  <c r="C68" i="9"/>
  <c r="B75" i="9"/>
  <c r="B76" i="9"/>
  <c r="B74" i="9"/>
  <c r="B70" i="9"/>
  <c r="B77" i="9"/>
  <c r="B78" i="9"/>
  <c r="B72" i="9"/>
  <c r="B73" i="9"/>
  <c r="B71" i="9"/>
  <c r="B69" i="9"/>
  <c r="E59" i="9"/>
  <c r="H61" i="9"/>
  <c r="H59" i="9"/>
  <c r="H57" i="9"/>
  <c r="H55" i="9"/>
  <c r="H63" i="9"/>
  <c r="H62" i="9"/>
  <c r="H60" i="9"/>
  <c r="H58" i="9"/>
  <c r="H56" i="9"/>
  <c r="H54" i="9"/>
  <c r="H53" i="9"/>
  <c r="G62" i="9"/>
  <c r="G58" i="9"/>
  <c r="G63" i="9"/>
  <c r="G61" i="9"/>
  <c r="G59" i="9"/>
  <c r="G57" i="9"/>
  <c r="G55" i="9"/>
  <c r="G60" i="9"/>
  <c r="G56" i="9"/>
  <c r="G54" i="9"/>
  <c r="G53" i="9"/>
  <c r="F59" i="9"/>
  <c r="F55" i="9"/>
  <c r="F63" i="9"/>
  <c r="F61" i="9"/>
  <c r="F57" i="9"/>
  <c r="F62" i="9"/>
  <c r="F60" i="9"/>
  <c r="F58" i="9"/>
  <c r="F56" i="9"/>
  <c r="F54" i="9"/>
  <c r="F53" i="9"/>
  <c r="E63" i="9"/>
  <c r="E61" i="9"/>
  <c r="E57" i="9"/>
  <c r="E55" i="9"/>
  <c r="E62" i="9"/>
  <c r="E60" i="9"/>
  <c r="E58" i="9"/>
  <c r="E56" i="9"/>
  <c r="E54" i="9"/>
  <c r="E53" i="9"/>
  <c r="D63" i="9"/>
  <c r="D61" i="9"/>
  <c r="D59" i="9"/>
  <c r="D57" i="9"/>
  <c r="D55" i="9"/>
  <c r="D62" i="9"/>
  <c r="D60" i="9"/>
  <c r="D58" i="9"/>
  <c r="D56" i="9"/>
  <c r="D54" i="9"/>
  <c r="D53" i="9"/>
  <c r="C63" i="9"/>
  <c r="C61" i="9"/>
  <c r="C59" i="9"/>
  <c r="C55" i="9"/>
  <c r="C57" i="9"/>
  <c r="C62" i="9"/>
  <c r="C60" i="9"/>
  <c r="C58" i="9"/>
  <c r="C56" i="9"/>
  <c r="C54" i="9"/>
  <c r="C53" i="9"/>
  <c r="B63" i="9"/>
  <c r="B61" i="9"/>
  <c r="B59" i="9"/>
  <c r="B57" i="9"/>
  <c r="B55" i="9"/>
  <c r="B62" i="9"/>
  <c r="B60" i="9"/>
  <c r="B58" i="9"/>
  <c r="B56" i="9"/>
  <c r="B54" i="9"/>
  <c r="B53" i="9"/>
  <c r="H47" i="9"/>
  <c r="H45" i="9"/>
  <c r="H41" i="9"/>
  <c r="H48" i="9"/>
  <c r="H46" i="9"/>
  <c r="H44" i="9"/>
  <c r="H42" i="9"/>
  <c r="H40" i="9"/>
  <c r="H43" i="9"/>
  <c r="H39" i="9"/>
  <c r="H38" i="9"/>
  <c r="G48" i="9"/>
  <c r="G46" i="9"/>
  <c r="G44" i="9"/>
  <c r="G42" i="9"/>
  <c r="G40" i="9"/>
  <c r="G47" i="9"/>
  <c r="G45" i="9"/>
  <c r="G43" i="9"/>
  <c r="G41" i="9"/>
  <c r="G39" i="9"/>
  <c r="G38" i="9"/>
  <c r="F40" i="9"/>
  <c r="F48" i="9"/>
  <c r="F46" i="9"/>
  <c r="F44" i="9"/>
  <c r="F42" i="9"/>
  <c r="F47" i="9"/>
  <c r="F45" i="9"/>
  <c r="F43" i="9"/>
  <c r="F41" i="9"/>
  <c r="F39" i="9"/>
  <c r="F38" i="9"/>
  <c r="E48" i="9"/>
  <c r="E46" i="9"/>
  <c r="E44" i="9"/>
  <c r="E42" i="9"/>
  <c r="E40" i="9"/>
  <c r="E47" i="9"/>
  <c r="E45" i="9"/>
  <c r="E43" i="9"/>
  <c r="E41" i="9"/>
  <c r="E39" i="9"/>
  <c r="E38" i="9"/>
  <c r="H31" i="9"/>
  <c r="E26" i="9"/>
  <c r="D42" i="9"/>
  <c r="D40" i="9"/>
  <c r="D48" i="9"/>
  <c r="D46" i="9"/>
  <c r="D44" i="9"/>
  <c r="D47" i="9"/>
  <c r="D45" i="9"/>
  <c r="D43" i="9"/>
  <c r="D41" i="9"/>
  <c r="D39" i="9"/>
  <c r="D38" i="9"/>
  <c r="C48" i="9"/>
  <c r="C44" i="9"/>
  <c r="C40" i="9"/>
  <c r="C46" i="9"/>
  <c r="C42" i="9"/>
  <c r="C47" i="9"/>
  <c r="C45" i="9"/>
  <c r="C43" i="9"/>
  <c r="C41" i="9"/>
  <c r="C39" i="9"/>
  <c r="C38" i="9"/>
  <c r="H27" i="9"/>
  <c r="I16" i="11"/>
  <c r="I20" i="11"/>
  <c r="I18" i="11"/>
  <c r="I19" i="11"/>
  <c r="I17" i="11"/>
  <c r="I15" i="11"/>
  <c r="I14" i="11"/>
  <c r="H32" i="9"/>
  <c r="H28" i="9"/>
  <c r="H26" i="9"/>
  <c r="H33" i="9"/>
  <c r="H29" i="9"/>
  <c r="H25" i="9"/>
  <c r="H30" i="9"/>
  <c r="H24" i="9"/>
  <c r="G33" i="9"/>
  <c r="G25" i="9"/>
  <c r="G31" i="9"/>
  <c r="G29" i="9"/>
  <c r="G27" i="9"/>
  <c r="G32" i="9"/>
  <c r="G30" i="9"/>
  <c r="G28" i="9"/>
  <c r="G26" i="9"/>
  <c r="G24" i="9"/>
  <c r="G23" i="9"/>
  <c r="F33" i="9"/>
  <c r="F29" i="9"/>
  <c r="F27" i="9"/>
  <c r="F25" i="9"/>
  <c r="F31" i="9"/>
  <c r="F32" i="9"/>
  <c r="F30" i="9"/>
  <c r="F28" i="9"/>
  <c r="F26" i="9"/>
  <c r="F24" i="9"/>
  <c r="F23" i="9"/>
  <c r="D23" i="9"/>
  <c r="C23" i="9"/>
  <c r="D31" i="9"/>
  <c r="D27" i="9"/>
  <c r="D25" i="9"/>
  <c r="D33" i="9"/>
  <c r="D29" i="9"/>
  <c r="D32" i="9"/>
  <c r="D30" i="9"/>
  <c r="D28" i="9"/>
  <c r="D26" i="9"/>
  <c r="D24" i="9"/>
  <c r="E31" i="9"/>
  <c r="E29" i="9"/>
  <c r="E27" i="9"/>
  <c r="E25" i="9"/>
  <c r="E33" i="9"/>
  <c r="E32" i="9"/>
  <c r="E30" i="9"/>
  <c r="E28" i="9"/>
  <c r="E24" i="9"/>
  <c r="C33" i="9"/>
  <c r="C31" i="9"/>
  <c r="C29" i="9"/>
  <c r="C27" i="9"/>
  <c r="C25" i="9"/>
  <c r="C32" i="9"/>
  <c r="C30" i="9"/>
  <c r="C28" i="9"/>
  <c r="C26" i="9"/>
  <c r="C24" i="9"/>
  <c r="B25" i="9"/>
  <c r="B24" i="9"/>
  <c r="B33" i="9"/>
  <c r="B31" i="9"/>
  <c r="B29" i="9"/>
  <c r="B27" i="9"/>
  <c r="B32" i="9"/>
  <c r="B30" i="9"/>
  <c r="B28" i="9"/>
  <c r="B26" i="9"/>
  <c r="B23" i="9"/>
  <c r="U35" i="9" l="1"/>
  <c r="U30" i="9"/>
  <c r="U31" i="9"/>
  <c r="U32" i="9"/>
  <c r="U33" i="9"/>
  <c r="U34" i="9"/>
  <c r="U29" i="9"/>
  <c r="T30" i="9"/>
  <c r="T31" i="9"/>
  <c r="T32" i="9"/>
  <c r="T33" i="9"/>
  <c r="T34" i="9"/>
  <c r="T35" i="9"/>
  <c r="T29" i="9"/>
  <c r="T24" i="9"/>
  <c r="S24" i="9"/>
  <c r="Q24" i="9"/>
  <c r="P24" i="9"/>
  <c r="O24" i="9"/>
  <c r="N24" i="9"/>
  <c r="O23" i="9"/>
  <c r="P23" i="9"/>
  <c r="Q23" i="9"/>
  <c r="R23" i="9"/>
  <c r="R24" i="9" s="1"/>
  <c r="S23" i="9"/>
  <c r="T23" i="9"/>
  <c r="N2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731107-9FEE-487F-9A05-769A87461A71}" keepAlive="1" name="Query - April 14, 2022" description="Connection to the 'April 14, 2022' query in the workbook." type="5" refreshedVersion="7" background="1" saveData="1">
    <dbPr connection="Provider=Microsoft.Mashup.OleDb.1;Data Source=$Workbook$;Location=&quot;April 14, 2022&quot;;Extended Properties=&quot;&quot;" command="SELECT * FROM [April 14, 2022]"/>
  </connection>
  <connection id="2" xr16:uid="{AC26E84D-4D55-48C5-BFD0-036CFBDD5F54}" keepAlive="1" name="Query - April 8, 2022" description="Connection to the 'April 8, 2022' query in the workbook." type="5" refreshedVersion="7" background="1" saveData="1">
    <dbPr connection="Provider=Microsoft.Mashup.OleDb.1;Data Source=$Workbook$;Location=&quot;April 8, 2022&quot;;Extended Properties=&quot;&quot;" command="SELECT * FROM [April 8, 2022]"/>
  </connection>
  <connection id="3" xr16:uid="{E93C1F3C-ACC9-4B27-A6D0-4BDB6EAEDCFD}" keepAlive="1" name="Query - Jan 19, 2024" description="Connection to the 'Jan 19, 2024' query in the workbook." type="5" refreshedVersion="7" background="1" saveData="1">
    <dbPr connection="Provider=Microsoft.Mashup.OleDb.1;Data Source=$Workbook$;Location=&quot;Jan 19, 2024&quot;;Extended Properties=&quot;&quot;" command="SELECT * FROM [Jan 19, 2024]"/>
  </connection>
  <connection id="4" xr16:uid="{2FB5E04B-8364-4B21-8C2B-ADB6EFE8117F}" keepAlive="1" name="Query - Jan 20, 2023" description="Connection to the 'Jan 20, 2023' query in the workbook." type="5" refreshedVersion="7" background="1" saveData="1">
    <dbPr connection="Provider=Microsoft.Mashup.OleDb.1;Data Source=$Workbook$;Location=&quot;Jan 20, 2023&quot;;Extended Properties=&quot;&quot;" command="SELECT * FROM [Jan 20, 2023]"/>
  </connection>
  <connection id="5" xr16:uid="{BE1573E4-C297-4882-A95E-6CF3B1549D66}" keepAlive="1" name="Query - June 17, 2022" description="Connection to the 'June 17, 2022' query in the workbook." type="5" refreshedVersion="7" background="1" saveData="1">
    <dbPr connection="Provider=Microsoft.Mashup.OleDb.1;Data Source=$Workbook$;Location=&quot;June 17, 2022&quot;;Extended Properties=&quot;&quot;" command="SELECT * FROM [June 17, 2022]"/>
  </connection>
  <connection id="6" xr16:uid="{58DD5836-3CE2-449F-99D6-DDDCA0B38D83}" keepAlive="1" name="Query - May 20, 2022" description="Connection to the 'May 20, 2022' query in the workbook." type="5" refreshedVersion="7" background="1" saveData="1">
    <dbPr connection="Provider=Microsoft.Mashup.OleDb.1;Data Source=$Workbook$;Location=&quot;May 20, 2022&quot;;Extended Properties=&quot;&quot;" command="SELECT * FROM [May 20, 2022]"/>
  </connection>
  <connection id="7" xr16:uid="{5E066748-B19E-43B4-ABFE-462EB08BD002}" keepAlive="1" name="Query - Merge1" description="Connection to the 'Merge1' query in the workbook." type="5" refreshedVersion="7" background="1" saveData="1">
    <dbPr connection="Provider=Microsoft.Mashup.OleDb.1;Data Source=$Workbook$;Location=Merge1;Extended Properties=&quot;&quot;" command="SELECT * FROM [Merge1]"/>
  </connection>
  <connection id="8" xr16:uid="{3253B207-084B-4DC4-A342-3D9E12F12A86}" keepAlive="1" name="Query - Sep 16, 2022" description="Connection to the 'Sep 16, 2022' query in the workbook." type="5" refreshedVersion="7" background="1" saveData="1">
    <dbPr connection="Provider=Microsoft.Mashup.OleDb.1;Data Source=$Workbook$;Location=&quot;Sep 16, 2022&quot;;Extended Properties=&quot;&quot;" command="SELECT * FROM [Sep 16, 202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<sst xmlns="http://schemas.openxmlformats.org/spreadsheetml/2006/main" count="952" uniqueCount="635">
  <si>
    <t>Contract Name</t>
  </si>
  <si>
    <t>Last Trade Date</t>
  </si>
  <si>
    <t>Strike</t>
  </si>
  <si>
    <t>Last Price</t>
  </si>
  <si>
    <t>Bid</t>
  </si>
  <si>
    <t>Ask</t>
  </si>
  <si>
    <t>Change</t>
  </si>
  <si>
    <t>% Change</t>
  </si>
  <si>
    <t>Volume</t>
  </si>
  <si>
    <t>Open Interest</t>
  </si>
  <si>
    <t>Implied Volatility</t>
  </si>
  <si>
    <t>FSLR220408C00055000</t>
  </si>
  <si>
    <t>2022-03-07 11:01AM EDT</t>
  </si>
  <si>
    <t>-</t>
  </si>
  <si>
    <t>1</t>
  </si>
  <si>
    <t>FSLR220408C00060000</t>
  </si>
  <si>
    <t>2022-03-02 3:50PM EDT</t>
  </si>
  <si>
    <t>FSLR220408C00064000</t>
  </si>
  <si>
    <t>2022-03-02 4:53PM EDT</t>
  </si>
  <si>
    <t>FSLR220408C00068000</t>
  </si>
  <si>
    <t>2022-04-05 10:00AM EDT</t>
  </si>
  <si>
    <t>+220.65%</t>
  </si>
  <si>
    <t>FSLR220408C00069000</t>
  </si>
  <si>
    <t>2022-03-04 12:45PM EDT</t>
  </si>
  <si>
    <t>10</t>
  </si>
  <si>
    <t>FSLR220408C00070000</t>
  </si>
  <si>
    <t>2022-03-10 11:21AM EDT</t>
  </si>
  <si>
    <t>FSLR220408C00071000</t>
  </si>
  <si>
    <t>2022-03-28 9:31AM EDT</t>
  </si>
  <si>
    <t>4</t>
  </si>
  <si>
    <t>FSLR220408C00072000</t>
  </si>
  <si>
    <t>2022-03-16 10:04AM EDT</t>
  </si>
  <si>
    <t>FSLR220408C00073000</t>
  </si>
  <si>
    <t>2022-04-05 12:32PM EDT</t>
  </si>
  <si>
    <t>-31.92%</t>
  </si>
  <si>
    <t>3</t>
  </si>
  <si>
    <t>FSLR220408C00074000</t>
  </si>
  <si>
    <t>2022-04-05 10:47AM EDT</t>
  </si>
  <si>
    <t>-27.91%</t>
  </si>
  <si>
    <t>2</t>
  </si>
  <si>
    <t>FSLR220408C00075000</t>
  </si>
  <si>
    <t>2022-04-04 1:51PM EDT</t>
  </si>
  <si>
    <t>5</t>
  </si>
  <si>
    <t>FSLR220408C00076000</t>
  </si>
  <si>
    <t>2022-04-05 12:56PM EDT</t>
  </si>
  <si>
    <t>-32.96%</t>
  </si>
  <si>
    <t>FSLR220408C00077000</t>
  </si>
  <si>
    <t>2022-03-31 2:29PM EDT</t>
  </si>
  <si>
    <t>22</t>
  </si>
  <si>
    <t>FSLR220408C00078000</t>
  </si>
  <si>
    <t>2022-03-29 11:18AM EDT</t>
  </si>
  <si>
    <t>FSLR220408C00079000</t>
  </si>
  <si>
    <t>2022-04-05 12:54PM EDT</t>
  </si>
  <si>
    <t>-48.97%</t>
  </si>
  <si>
    <t>9</t>
  </si>
  <si>
    <t>FSLR220408C00080000</t>
  </si>
  <si>
    <t>2022-04-05 12:08PM EDT</t>
  </si>
  <si>
    <t>-49.44%</t>
  </si>
  <si>
    <t>13</t>
  </si>
  <si>
    <t>FSLR220408C00081000</t>
  </si>
  <si>
    <t>2022-04-05 1:11PM EDT</t>
  </si>
  <si>
    <t>-57.94%</t>
  </si>
  <si>
    <t>35</t>
  </si>
  <si>
    <t>FSLR220408C00082000</t>
  </si>
  <si>
    <t>-65.30%</t>
  </si>
  <si>
    <t>370</t>
  </si>
  <si>
    <t>FSLR220408C00083000</t>
  </si>
  <si>
    <t>2022-04-05 12:45PM EDT</t>
  </si>
  <si>
    <t>-74.74%</t>
  </si>
  <si>
    <t>71</t>
  </si>
  <si>
    <t>FSLR220408C00084000</t>
  </si>
  <si>
    <t>2022-04-05 1:04PM EDT</t>
  </si>
  <si>
    <t>-75.16%</t>
  </si>
  <si>
    <t>54</t>
  </si>
  <si>
    <t>FSLR220408C00085000</t>
  </si>
  <si>
    <t>2022-04-05 1:17PM EDT</t>
  </si>
  <si>
    <t>-74.77%</t>
  </si>
  <si>
    <t>154</t>
  </si>
  <si>
    <t>FSLR220408C00086000</t>
  </si>
  <si>
    <t>2022-04-05 11:46AM EDT</t>
  </si>
  <si>
    <t>-77.33%</t>
  </si>
  <si>
    <t>92</t>
  </si>
  <si>
    <t>FSLR220408C00087000</t>
  </si>
  <si>
    <t>2022-04-05 1:38PM EDT</t>
  </si>
  <si>
    <t>-79.25%</t>
  </si>
  <si>
    <t>98</t>
  </si>
  <si>
    <t>FSLR220408C00088000</t>
  </si>
  <si>
    <t>2022-04-05 12:22PM EDT</t>
  </si>
  <si>
    <t>-78.95%</t>
  </si>
  <si>
    <t>112</t>
  </si>
  <si>
    <t>FSLR220408C00090000</t>
  </si>
  <si>
    <t>2022-04-05 11:40AM EDT</t>
  </si>
  <si>
    <t>-76.47%</t>
  </si>
  <si>
    <t>219</t>
  </si>
  <si>
    <t>FSLR220408C00095000</t>
  </si>
  <si>
    <t>2022-04-04 3:57PM EDT</t>
  </si>
  <si>
    <t>114</t>
  </si>
  <si>
    <t>FSLR220408C00100000</t>
  </si>
  <si>
    <t>2022-04-01 3:21PM EDT</t>
  </si>
  <si>
    <t>-62.50%</t>
  </si>
  <si>
    <t>FSLR220408C00105000</t>
  </si>
  <si>
    <t>2022-03-31 3:51PM EDT</t>
  </si>
  <si>
    <t>FSLR220408C00110000</t>
  </si>
  <si>
    <t>2022-03-31 12:20PM EDT</t>
  </si>
  <si>
    <t>FSLR220408C00115000</t>
  </si>
  <si>
    <t>2022-03-24 2:32PM EDT</t>
  </si>
  <si>
    <t>FSLR220414C00045000</t>
  </si>
  <si>
    <t>2022-03-28 12:32PM EDT</t>
  </si>
  <si>
    <t>FSLR220414C00055000</t>
  </si>
  <si>
    <t>2022-03-28 9:38AM EDT</t>
  </si>
  <si>
    <t>FSLR220414C00060000</t>
  </si>
  <si>
    <t>2022-03-08 10:57AM EDT</t>
  </si>
  <si>
    <t>FSLR220414C00062500</t>
  </si>
  <si>
    <t>2022-03-28 3:26PM EDT</t>
  </si>
  <si>
    <t>FSLR220414C00065000</t>
  </si>
  <si>
    <t>2022-04-05 10:30AM EDT</t>
  </si>
  <si>
    <t>-13.61%</t>
  </si>
  <si>
    <t>FSLR220414C00067500</t>
  </si>
  <si>
    <t>2022-03-25 10:58AM EDT</t>
  </si>
  <si>
    <t>FSLR220414C00070000</t>
  </si>
  <si>
    <t>2022-04-05 11:36AM EDT</t>
  </si>
  <si>
    <t>-21.17%</t>
  </si>
  <si>
    <t>8</t>
  </si>
  <si>
    <t>FSLR220414C00072500</t>
  </si>
  <si>
    <t>2022-04-05 12:28PM EDT</t>
  </si>
  <si>
    <t>-37.05%</t>
  </si>
  <si>
    <t>16</t>
  </si>
  <si>
    <t>FSLR220414C00073000</t>
  </si>
  <si>
    <t>-24.69%</t>
  </si>
  <si>
    <t>FSLR220414C00074000</t>
  </si>
  <si>
    <t>-40.10%</t>
  </si>
  <si>
    <t>FSLR220414C00075000</t>
  </si>
  <si>
    <t>2022-04-05 12:21PM EDT</t>
  </si>
  <si>
    <t>-38.04%</t>
  </si>
  <si>
    <t>FSLR220414C00076000</t>
  </si>
  <si>
    <t>2022-03-30 3:25PM EDT</t>
  </si>
  <si>
    <t>FSLR220414C00077000</t>
  </si>
  <si>
    <t>2022-04-04 2:48PM EDT</t>
  </si>
  <si>
    <t>7</t>
  </si>
  <si>
    <t>FSLR220414C00077500</t>
  </si>
  <si>
    <t>2022-04-04 12:07PM EDT</t>
  </si>
  <si>
    <t>-25.27%</t>
  </si>
  <si>
    <t>FSLR220414C00078000</t>
  </si>
  <si>
    <t>2022-04-05 10:55AM EDT</t>
  </si>
  <si>
    <t>-51.32%</t>
  </si>
  <si>
    <t>FSLR220414C00079000</t>
  </si>
  <si>
    <t>2022-04-05 10:11AM EDT</t>
  </si>
  <si>
    <t>-40.13%</t>
  </si>
  <si>
    <t>FSLR220414C00080000</t>
  </si>
  <si>
    <t>2022-04-05 12:37PM EDT</t>
  </si>
  <si>
    <t>-53.40%</t>
  </si>
  <si>
    <t>FSLR220414C00081000</t>
  </si>
  <si>
    <t>2022-04-05 2:02PM EDT</t>
  </si>
  <si>
    <t>-50.00%</t>
  </si>
  <si>
    <t>65</t>
  </si>
  <si>
    <t>FSLR220414C00082000</t>
  </si>
  <si>
    <t>2022-04-05 1:08PM EDT</t>
  </si>
  <si>
    <t>-50.72%</t>
  </si>
  <si>
    <t>64</t>
  </si>
  <si>
    <t>FSLR220414C00082500</t>
  </si>
  <si>
    <t>2022-04-05 1:30PM EDT</t>
  </si>
  <si>
    <t>-51.11%</t>
  </si>
  <si>
    <t>25</t>
  </si>
  <si>
    <t>FSLR220414C00083000</t>
  </si>
  <si>
    <t>2022-04-05 1:25PM EDT</t>
  </si>
  <si>
    <t>-48.85%</t>
  </si>
  <si>
    <t>48</t>
  </si>
  <si>
    <t>FSLR220414C00084000</t>
  </si>
  <si>
    <t>2022-04-05 12:36PM EDT</t>
  </si>
  <si>
    <t>-59.71%</t>
  </si>
  <si>
    <t>39</t>
  </si>
  <si>
    <t>FSLR220414C00085000</t>
  </si>
  <si>
    <t>-62.37%</t>
  </si>
  <si>
    <t>63</t>
  </si>
  <si>
    <t>FSLR220414C00086000</t>
  </si>
  <si>
    <t>2022-04-05 10:38AM EDT</t>
  </si>
  <si>
    <t>-39.34%</t>
  </si>
  <si>
    <t>FSLR220414C00087000</t>
  </si>
  <si>
    <t>2022-04-05 11:48AM EDT</t>
  </si>
  <si>
    <t>-59.00%</t>
  </si>
  <si>
    <t>FSLR220414C00087500</t>
  </si>
  <si>
    <t>-48.45%</t>
  </si>
  <si>
    <t>FSLR220414C00088000</t>
  </si>
  <si>
    <t>2022-04-05 11:21AM EDT</t>
  </si>
  <si>
    <t>-43.90%</t>
  </si>
  <si>
    <t>FSLR220414C00090000</t>
  </si>
  <si>
    <t>2022-04-05 12:38PM EDT</t>
  </si>
  <si>
    <t>-67.86%</t>
  </si>
  <si>
    <t>30</t>
  </si>
  <si>
    <t>FSLR220414C00095000</t>
  </si>
  <si>
    <t>2022-04-04 9:30AM EDT</t>
  </si>
  <si>
    <t>-52.17%</t>
  </si>
  <si>
    <t>FSLR220414C00100000</t>
  </si>
  <si>
    <t>2022-04-05 12:05PM EDT</t>
  </si>
  <si>
    <t>-33.33%</t>
  </si>
  <si>
    <t>FSLR220414C00105000</t>
  </si>
  <si>
    <t>2022-03-31 12:19PM EDT</t>
  </si>
  <si>
    <t>FSLR220414C00110000</t>
  </si>
  <si>
    <t>58</t>
  </si>
  <si>
    <t>FSLR220414C00115000</t>
  </si>
  <si>
    <t>2022-04-05 1:12PM EDT</t>
  </si>
  <si>
    <t>-60.00%</t>
  </si>
  <si>
    <t>6</t>
  </si>
  <si>
    <t>FSLR220916C00032500</t>
  </si>
  <si>
    <t>2022-03-22 2:21PM EDT</t>
  </si>
  <si>
    <t>FSLR220916C00042500</t>
  </si>
  <si>
    <t>2022-03-16 1:45PM EDT</t>
  </si>
  <si>
    <t>FSLR220916C00050000</t>
  </si>
  <si>
    <t>2022-03-10 4:24PM EDT</t>
  </si>
  <si>
    <t>FSLR220916C00055000</t>
  </si>
  <si>
    <t>2022-03-03 4:27PM EDT</t>
  </si>
  <si>
    <t>FSLR220916C00060000</t>
  </si>
  <si>
    <t>2022-04-05 10:52AM EDT</t>
  </si>
  <si>
    <t>-15.46%</t>
  </si>
  <si>
    <t>FSLR220916C00065000</t>
  </si>
  <si>
    <t>2022-03-09 1:14PM EDT</t>
  </si>
  <si>
    <t>FSLR220916C00067500</t>
  </si>
  <si>
    <t>2022-03-31 3:54PM EDT</t>
  </si>
  <si>
    <t>FSLR220916C00070000</t>
  </si>
  <si>
    <t>2022-04-05 9:49AM EDT</t>
  </si>
  <si>
    <t>-2.79%</t>
  </si>
  <si>
    <t>FSLR220916C00072500</t>
  </si>
  <si>
    <t>2022-03-28 10:03AM EDT</t>
  </si>
  <si>
    <t>FSLR220916C00075000</t>
  </si>
  <si>
    <t>2022-04-05 11:35AM EDT</t>
  </si>
  <si>
    <t>-14.72%</t>
  </si>
  <si>
    <t>FSLR220916C00077500</t>
  </si>
  <si>
    <t>2022-04-05 10:06AM EDT</t>
  </si>
  <si>
    <t>-0.83%</t>
  </si>
  <si>
    <t>FSLR220916C00080000</t>
  </si>
  <si>
    <t>-6.96%</t>
  </si>
  <si>
    <t>FSLR220916C00082500</t>
  </si>
  <si>
    <t>2022-04-05 10:51AM EDT</t>
  </si>
  <si>
    <t>-10.89%</t>
  </si>
  <si>
    <t>FSLR220916C00085000</t>
  </si>
  <si>
    <t>2022-04-01 11:23AM EDT</t>
  </si>
  <si>
    <t>FSLR220916C00087500</t>
  </si>
  <si>
    <t>2022-04-05 11:00AM EDT</t>
  </si>
  <si>
    <t>-22.42%</t>
  </si>
  <si>
    <t>FSLR220916C00090000</t>
  </si>
  <si>
    <t>2022-04-05 10:20AM EDT</t>
  </si>
  <si>
    <t>-11.27%</t>
  </si>
  <si>
    <t>FSLR220916C00095000</t>
  </si>
  <si>
    <t>2022-04-04 3:13PM EDT</t>
  </si>
  <si>
    <t>FSLR220916C00100000</t>
  </si>
  <si>
    <t>2022-04-05 1:37PM EDT</t>
  </si>
  <si>
    <t>-14.25%</t>
  </si>
  <si>
    <t>FSLR220916C00105000</t>
  </si>
  <si>
    <t>2022-04-04 10:50AM EDT</t>
  </si>
  <si>
    <t>FSLR220916C00110000</t>
  </si>
  <si>
    <t>2022-03-31 1:26PM EDT</t>
  </si>
  <si>
    <t>FSLR220916C00115000</t>
  </si>
  <si>
    <t>2022-04-05 10:53AM EDT</t>
  </si>
  <si>
    <t>-17.18%</t>
  </si>
  <si>
    <t>FSLR220916C00120000</t>
  </si>
  <si>
    <t>2022-03-29 10:32AM EDT</t>
  </si>
  <si>
    <t>-26.75%</t>
  </si>
  <si>
    <t>FSLR220520C00040000</t>
  </si>
  <si>
    <t>2022-04-05 10:19AM EDT</t>
  </si>
  <si>
    <t>+9.54%</t>
  </si>
  <si>
    <t>FSLR220520C00060000</t>
  </si>
  <si>
    <t>2022-03-24 10:23AM EDT</t>
  </si>
  <si>
    <t>FSLR220520C00062500</t>
  </si>
  <si>
    <t>2022-03-14 9:38AM EDT</t>
  </si>
  <si>
    <t>FSLR220520C00065000</t>
  </si>
  <si>
    <t>2022-03-17 9:51AM EDT</t>
  </si>
  <si>
    <t>FSLR220520C00067500</t>
  </si>
  <si>
    <t>FSLR220520C00070000</t>
  </si>
  <si>
    <t>-5.98%</t>
  </si>
  <si>
    <t>FSLR220520C00072500</t>
  </si>
  <si>
    <t>2022-04-05 9:44AM EDT</t>
  </si>
  <si>
    <t>-18.86%</t>
  </si>
  <si>
    <t>FSLR220520C00075000</t>
  </si>
  <si>
    <t>2022-04-05 12:31PM EDT</t>
  </si>
  <si>
    <t>-19.18%</t>
  </si>
  <si>
    <t>FSLR220520C00077500</t>
  </si>
  <si>
    <t>2022-04-05 1:33PM EDT</t>
  </si>
  <si>
    <t>-22.87%</t>
  </si>
  <si>
    <t>FSLR220520C00080000</t>
  </si>
  <si>
    <t>2022-04-05 12:30PM EDT</t>
  </si>
  <si>
    <t>-29.60%</t>
  </si>
  <si>
    <t>FSLR220520C00082500</t>
  </si>
  <si>
    <t>2022-04-05 1:55PM EDT</t>
  </si>
  <si>
    <t>-27.34%</t>
  </si>
  <si>
    <t>FSLR220520C00085000</t>
  </si>
  <si>
    <t>2022-04-05 1:09PM EDT</t>
  </si>
  <si>
    <t>-25.34%</t>
  </si>
  <si>
    <t>FSLR220520C00087500</t>
  </si>
  <si>
    <t>2022-04-05 2:00PM EDT</t>
  </si>
  <si>
    <t>-21.08%</t>
  </si>
  <si>
    <t>FSLR220520C00090000</t>
  </si>
  <si>
    <t>2022-04-05 1:01PM EDT</t>
  </si>
  <si>
    <t>-30.75%</t>
  </si>
  <si>
    <t>FSLR220520C00095000</t>
  </si>
  <si>
    <t>2022-04-05 11:58AM EDT</t>
  </si>
  <si>
    <t>-31.28%</t>
  </si>
  <si>
    <t>FSLR220520C00100000</t>
  </si>
  <si>
    <t>-27.97%</t>
  </si>
  <si>
    <t>FSLR220520C00105000</t>
  </si>
  <si>
    <t>2022-04-05 11:31AM EDT</t>
  </si>
  <si>
    <t>-23.88%</t>
  </si>
  <si>
    <t>FSLR220520C00110000</t>
  </si>
  <si>
    <t>2022-04-05 1:24PM EDT</t>
  </si>
  <si>
    <t>-21.43%</t>
  </si>
  <si>
    <t>FSLR220520C00115000</t>
  </si>
  <si>
    <t>2022-04-05 9:37AM EDT</t>
  </si>
  <si>
    <t>-31.03%</t>
  </si>
  <si>
    <t>FSLR220520C00120000</t>
  </si>
  <si>
    <t>2022-04-04 9:49AM EDT</t>
  </si>
  <si>
    <t>FSLR230120C00032500</t>
  </si>
  <si>
    <t>2022-03-09 3:25PM EDT</t>
  </si>
  <si>
    <t>FSLR230120C00035000</t>
  </si>
  <si>
    <t>2022-03-16 9:58AM EDT</t>
  </si>
  <si>
    <t>FSLR230120C00037500</t>
  </si>
  <si>
    <t>2022-01-06 11:10AM EDT</t>
  </si>
  <si>
    <t>FSLR230120C00040000</t>
  </si>
  <si>
    <t>2022-03-15 12:03PM EDT</t>
  </si>
  <si>
    <t>FSLR230120C00042500</t>
  </si>
  <si>
    <t>2021-12-23 10:39AM EDT</t>
  </si>
  <si>
    <t>FSLR230120C00045000</t>
  </si>
  <si>
    <t>2022-03-07 4:51PM EDT</t>
  </si>
  <si>
    <t>FSLR230120C00047500</t>
  </si>
  <si>
    <t>2021-12-21 11:07AM EDT</t>
  </si>
  <si>
    <t>FSLR230120C00050000</t>
  </si>
  <si>
    <t>2022-03-28 12:07PM EDT</t>
  </si>
  <si>
    <t>FSLR230120C00052500</t>
  </si>
  <si>
    <t>2022-04-04 9:39AM EDT</t>
  </si>
  <si>
    <t>FSLR230120C00055000</t>
  </si>
  <si>
    <t>2022-03-29 2:40PM EDT</t>
  </si>
  <si>
    <t>FSLR230120C00057500</t>
  </si>
  <si>
    <t>2022-03-28 1:08PM EDT</t>
  </si>
  <si>
    <t>FSLR230120C00060000</t>
  </si>
  <si>
    <t>FSLR230120C00062500</t>
  </si>
  <si>
    <t>FSLR230120C00065000</t>
  </si>
  <si>
    <t>FSLR230120C00067500</t>
  </si>
  <si>
    <t>2022-03-22 10:47AM EDT</t>
  </si>
  <si>
    <t>FSLR230120C00070000</t>
  </si>
  <si>
    <t>2022-03-25 11:50AM EDT</t>
  </si>
  <si>
    <t>FSLR230120C00072500</t>
  </si>
  <si>
    <t>2022-04-04 1:42PM EDT</t>
  </si>
  <si>
    <t>FSLR230120C00075000</t>
  </si>
  <si>
    <t>2022-04-01 10:33AM EDT</t>
  </si>
  <si>
    <t>FSLR230120C00077500</t>
  </si>
  <si>
    <t>2022-03-28 9:33AM EDT</t>
  </si>
  <si>
    <t>FSLR230120C00080000</t>
  </si>
  <si>
    <t>2022-04-04 1:40PM EDT</t>
  </si>
  <si>
    <t>FSLR230120C00082500</t>
  </si>
  <si>
    <t>-9.72%</t>
  </si>
  <si>
    <t>FSLR230120C00085000</t>
  </si>
  <si>
    <t>2022-04-05 10:58AM EDT</t>
  </si>
  <si>
    <t>-10.53%</t>
  </si>
  <si>
    <t>FSLR230120C00087500</t>
  </si>
  <si>
    <t>2022-04-05 11:55AM EDT</t>
  </si>
  <si>
    <t>-7.91%</t>
  </si>
  <si>
    <t>FSLR230120C00090000</t>
  </si>
  <si>
    <t>2022-04-05 11:02AM EDT</t>
  </si>
  <si>
    <t>-7.89%</t>
  </si>
  <si>
    <t>FSLR230120C00092500</t>
  </si>
  <si>
    <t>2022-04-01 11:20AM EDT</t>
  </si>
  <si>
    <t>FSLR230120C00095000</t>
  </si>
  <si>
    <t>2022-04-05 12:50PM EDT</t>
  </si>
  <si>
    <t>-14.88%</t>
  </si>
  <si>
    <t>FSLR230120C00097500</t>
  </si>
  <si>
    <t>2022-04-04 12:30PM EDT</t>
  </si>
  <si>
    <t>FSLR230120C00100000</t>
  </si>
  <si>
    <t>2022-04-05 11:52AM EDT</t>
  </si>
  <si>
    <t>-15.71%</t>
  </si>
  <si>
    <t>FSLR230120C00105000</t>
  </si>
  <si>
    <t>-10.93%</t>
  </si>
  <si>
    <t>FSLR230120C00110000</t>
  </si>
  <si>
    <t>-10.28%</t>
  </si>
  <si>
    <t>FSLR230120C00115000</t>
  </si>
  <si>
    <t>2022-03-31 1:51PM EDT</t>
  </si>
  <si>
    <t>FSLR230120C00120000</t>
  </si>
  <si>
    <t>-16.92%</t>
  </si>
  <si>
    <t>FSLR230120C00125000</t>
  </si>
  <si>
    <t>2022-04-04 10:51AM EDT</t>
  </si>
  <si>
    <t>FSLR230120C00130000</t>
  </si>
  <si>
    <t>2022-03-25 9:34AM EDT</t>
  </si>
  <si>
    <t>FSLR230120C00135000</t>
  </si>
  <si>
    <t>2022-04-01 3:20PM EDT</t>
  </si>
  <si>
    <t>FSLR230120C00140000</t>
  </si>
  <si>
    <t>2022-04-04 2:43PM EDT</t>
  </si>
  <si>
    <t>FSLR230120C00145000</t>
  </si>
  <si>
    <t>FSLR230120C00150000</t>
  </si>
  <si>
    <t>2022-04-04 11:52AM EDT</t>
  </si>
  <si>
    <t>FSLR230120C00155000</t>
  </si>
  <si>
    <t>2022-04-05 10:02AM EDT</t>
  </si>
  <si>
    <t>FSLR230120C00160000</t>
  </si>
  <si>
    <t>2022-04-04 9:51AM EDT</t>
  </si>
  <si>
    <t>FSLR230120C00165000</t>
  </si>
  <si>
    <t>FSLR230120C00170000</t>
  </si>
  <si>
    <t>2022-02-14 10:31AM EDT</t>
  </si>
  <si>
    <t>FSLR230120C00175000</t>
  </si>
  <si>
    <t>2022-04-04 1:56PM EDT</t>
  </si>
  <si>
    <t>FSLR230120C00180000</t>
  </si>
  <si>
    <t>2022-03-02 4:44PM EDT</t>
  </si>
  <si>
    <t>FSLR220617C00037500</t>
  </si>
  <si>
    <t>FSLR220617C00040000</t>
  </si>
  <si>
    <t>2022-03-07 10:54AM EDT</t>
  </si>
  <si>
    <t>FSLR220617C00045000</t>
  </si>
  <si>
    <t>2022-03-24 9:43AM EDT</t>
  </si>
  <si>
    <t>FSLR220617C00050000</t>
  </si>
  <si>
    <t>2022-03-23 10:28AM EDT</t>
  </si>
  <si>
    <t>FSLR220617C00055000</t>
  </si>
  <si>
    <t>FSLR220617C00060000</t>
  </si>
  <si>
    <t>2022-04-05 9:31AM EDT</t>
  </si>
  <si>
    <t>+37.81%</t>
  </si>
  <si>
    <t>FSLR220617C00062500</t>
  </si>
  <si>
    <t>2022-04-05 9:30AM EDT</t>
  </si>
  <si>
    <t>+7.18%</t>
  </si>
  <si>
    <t>FSLR220617C00065000</t>
  </si>
  <si>
    <t>2022-04-05 9:43AM EDT</t>
  </si>
  <si>
    <t>-10.74%</t>
  </si>
  <si>
    <t>FSLR220617C00067500</t>
  </si>
  <si>
    <t>2022-03-30 9:42AM EDT</t>
  </si>
  <si>
    <t>FSLR220617C00070000</t>
  </si>
  <si>
    <t>2022-03-29 11:59AM EDT</t>
  </si>
  <si>
    <t>FSLR220617C00072500</t>
  </si>
  <si>
    <t>2022-04-05 11:33AM EDT</t>
  </si>
  <si>
    <t>-17.14%</t>
  </si>
  <si>
    <t>FSLR220617C00075000</t>
  </si>
  <si>
    <t>-19.03%</t>
  </si>
  <si>
    <t>FSLR220617C00077500</t>
  </si>
  <si>
    <t>2022-04-04 10:30AM EDT</t>
  </si>
  <si>
    <t>FSLR220617C00080000</t>
  </si>
  <si>
    <t>2022-04-05 10:18AM EDT</t>
  </si>
  <si>
    <t>-10.80%</t>
  </si>
  <si>
    <t>FSLR220617C00082500</t>
  </si>
  <si>
    <t>2022-04-05 1:41PM EDT</t>
  </si>
  <si>
    <t>-20.56%</t>
  </si>
  <si>
    <t>FSLR220617C00085000</t>
  </si>
  <si>
    <t>2022-04-05 10:48AM EDT</t>
  </si>
  <si>
    <t>-21.95%</t>
  </si>
  <si>
    <t>FSLR220617C00087500</t>
  </si>
  <si>
    <t>2022-04-05 10:28AM EDT</t>
  </si>
  <si>
    <t>-19.05%</t>
  </si>
  <si>
    <t>FSLR220617C00090000</t>
  </si>
  <si>
    <t>2022-04-05 1:05PM EDT</t>
  </si>
  <si>
    <t>-26.10%</t>
  </si>
  <si>
    <t>FSLR220617C00092500</t>
  </si>
  <si>
    <t>2022-04-05 10:37AM EDT</t>
  </si>
  <si>
    <t>FSLR220617C00095000</t>
  </si>
  <si>
    <t>2022-04-05 11:37AM EDT</t>
  </si>
  <si>
    <t>-20.95%</t>
  </si>
  <si>
    <t>FSLR220617C00097500</t>
  </si>
  <si>
    <t>2022-04-01 2:29PM EDT</t>
  </si>
  <si>
    <t>-21.07%</t>
  </si>
  <si>
    <t>FSLR220617C00100000</t>
  </si>
  <si>
    <t>2022-04-05 11:57AM EDT</t>
  </si>
  <si>
    <t>-29.32%</t>
  </si>
  <si>
    <t>FSLR220617C00105000</t>
  </si>
  <si>
    <t>2022-04-05 11:25AM EDT</t>
  </si>
  <si>
    <t>-21.62%</t>
  </si>
  <si>
    <t>FSLR220617C00110000</t>
  </si>
  <si>
    <t>2022-04-05 12:23PM EDT</t>
  </si>
  <si>
    <t>-25.97%</t>
  </si>
  <si>
    <t>FSLR220617C00115000</t>
  </si>
  <si>
    <t>2022-04-05 1:00PM EDT</t>
  </si>
  <si>
    <t>-23.21%</t>
  </si>
  <si>
    <t>FSLR220617C00120000</t>
  </si>
  <si>
    <t>2022-04-04 10:18AM EDT</t>
  </si>
  <si>
    <t>FSLR220617C00125000</t>
  </si>
  <si>
    <t>2022-03-31 3:20PM EDT</t>
  </si>
  <si>
    <t>FSLR220617C00130000</t>
  </si>
  <si>
    <t>2022-03-29 1:33PM EDT</t>
  </si>
  <si>
    <t>FSLR220617C00135000</t>
  </si>
  <si>
    <t>2022-01-05 4:37PM EDT</t>
  </si>
  <si>
    <t>FSLR220617C00140000</t>
  </si>
  <si>
    <t>2022-03-23 2:05PM EDT</t>
  </si>
  <si>
    <t>FSLR220617C00145000</t>
  </si>
  <si>
    <t>2022-03-08 2:16PM EDT</t>
  </si>
  <si>
    <t>FSLR220617C00150000</t>
  </si>
  <si>
    <t>2022-03-24 3:32PM EDT</t>
  </si>
  <si>
    <t>FSLR220617C00155000</t>
  </si>
  <si>
    <t>2022-01-13 12:37PM EDT</t>
  </si>
  <si>
    <t>FSLR220617C00160000</t>
  </si>
  <si>
    <t>2022-01-24 4:57PM EDT</t>
  </si>
  <si>
    <t>FSLR220617C00165000</t>
  </si>
  <si>
    <t>2021-11-18 12:44PM EDT</t>
  </si>
  <si>
    <t>FSLR220617C00170000</t>
  </si>
  <si>
    <t>FSLR220617C00175000</t>
  </si>
  <si>
    <t>2022-03-07 11:53AM EDT</t>
  </si>
  <si>
    <t>FSLR220617C00180000</t>
  </si>
  <si>
    <t>2022-03-30 1:32PM EDT</t>
  </si>
  <si>
    <t>FSLR240119C00032500</t>
  </si>
  <si>
    <t>2022-03-29 3:18PM EDT</t>
  </si>
  <si>
    <t>FSLR240119C00035000</t>
  </si>
  <si>
    <t>2022-03-10 11:28AM EDT</t>
  </si>
  <si>
    <t>+13.57%</t>
  </si>
  <si>
    <t>FSLR240119C00037500</t>
  </si>
  <si>
    <t>FSLR240119C00040000</t>
  </si>
  <si>
    <t>-5.84%</t>
  </si>
  <si>
    <t>FSLR240119C00045000</t>
  </si>
  <si>
    <t>2022-04-01 1:39PM EDT</t>
  </si>
  <si>
    <t>FSLR240119C00047500</t>
  </si>
  <si>
    <t>2021-10-25 2:17PM EDT</t>
  </si>
  <si>
    <t>FSLR240119C00050000</t>
  </si>
  <si>
    <t>+23.44%</t>
  </si>
  <si>
    <t>FSLR240119C00055000</t>
  </si>
  <si>
    <t>2022-03-14 2:33PM EDT</t>
  </si>
  <si>
    <t>FSLR240119C00060000</t>
  </si>
  <si>
    <t>FSLR240119C00065000</t>
  </si>
  <si>
    <t>2022-03-28 2:56PM EDT</t>
  </si>
  <si>
    <t>FSLR240119C00067500</t>
  </si>
  <si>
    <t>2022-03-07 10:40AM EDT</t>
  </si>
  <si>
    <t>FSLR240119C00070000</t>
  </si>
  <si>
    <t>2022-03-28 10:54AM EDT</t>
  </si>
  <si>
    <t>FSLR240119C00072500</t>
  </si>
  <si>
    <t>2022-03-28 12:33PM EDT</t>
  </si>
  <si>
    <t>FSLR240119C00075000</t>
  </si>
  <si>
    <t>2022-04-01 9:56AM EDT</t>
  </si>
  <si>
    <t>FSLR240119C00077500</t>
  </si>
  <si>
    <t>FSLR240119C00080000</t>
  </si>
  <si>
    <t>2022-03-29 9:46AM EDT</t>
  </si>
  <si>
    <t>FSLR240119C00082500</t>
  </si>
  <si>
    <t>2022-03-09 10:51AM EDT</t>
  </si>
  <si>
    <t>FSLR240119C00085000</t>
  </si>
  <si>
    <t>2022-04-01 9:47AM EDT</t>
  </si>
  <si>
    <t>FSLR240119C00087500</t>
  </si>
  <si>
    <t>2022-02-15 11:39AM EDT</t>
  </si>
  <si>
    <t>FSLR240119C00090000</t>
  </si>
  <si>
    <t>2022-04-05 10:39AM EDT</t>
  </si>
  <si>
    <t>-10.27%</t>
  </si>
  <si>
    <t>FSLR240119C00092500</t>
  </si>
  <si>
    <t>2022-03-30 3:36PM EDT</t>
  </si>
  <si>
    <t>FSLR240119C00095000</t>
  </si>
  <si>
    <t>2022-02-03 10:57AM EDT</t>
  </si>
  <si>
    <t>FSLR240119C00097500</t>
  </si>
  <si>
    <t>2022-02-28 4:44PM EDT</t>
  </si>
  <si>
    <t>FSLR240119C00100000</t>
  </si>
  <si>
    <t>2022-03-31 1:47PM EDT</t>
  </si>
  <si>
    <t>FSLR240119C00105000</t>
  </si>
  <si>
    <t>2022-04-05 12:29PM EDT</t>
  </si>
  <si>
    <t>-11.40%</t>
  </si>
  <si>
    <t>FSLR240119C00110000</t>
  </si>
  <si>
    <t>2022-04-01 2:19PM EDT</t>
  </si>
  <si>
    <t>FSLR240119C00115000</t>
  </si>
  <si>
    <t>2022-04-01 2:25PM EDT</t>
  </si>
  <si>
    <t>FSLR240119C00120000</t>
  </si>
  <si>
    <t>2022-04-01 2:20PM EDT</t>
  </si>
  <si>
    <t>FSLR240119C00125000</t>
  </si>
  <si>
    <t>2022-03-29 12:55PM EDT</t>
  </si>
  <si>
    <t>FSLR240119C00130000</t>
  </si>
  <si>
    <t>FSLR240119C00135000</t>
  </si>
  <si>
    <t>2022-03-30 12:42PM EDT</t>
  </si>
  <si>
    <t>FSLR240119C00140000</t>
  </si>
  <si>
    <t>2022-03-29 1:25PM EDT</t>
  </si>
  <si>
    <t>FSLR240119C00145000</t>
  </si>
  <si>
    <t>2022-03-02 11:12AM EDT</t>
  </si>
  <si>
    <t>FSLR240119C00150000</t>
  </si>
  <si>
    <t>2022-03-28 12:30PM EDT</t>
  </si>
  <si>
    <t>FSLR240119C00155000</t>
  </si>
  <si>
    <t>2022-02-02 11:50AM EDT</t>
  </si>
  <si>
    <t>FSLR240119C00160000</t>
  </si>
  <si>
    <t>2022-03-16 1:02PM EDT</t>
  </si>
  <si>
    <t>FSLR240119C00165000</t>
  </si>
  <si>
    <t>2022-03-02 10:30AM EDT</t>
  </si>
  <si>
    <t>FSLR240119C00170000</t>
  </si>
  <si>
    <t>2022-03-30 1:03PM EDT</t>
  </si>
  <si>
    <t>FSLR240119C00175000</t>
  </si>
  <si>
    <t>2022-04-01 11:38AM EDT</t>
  </si>
  <si>
    <t>FSLR240119C00180000</t>
  </si>
  <si>
    <t>April 8, 22</t>
  </si>
  <si>
    <t>April 14, 22</t>
  </si>
  <si>
    <t>May 20, 22</t>
  </si>
  <si>
    <t>June 17, 22</t>
  </si>
  <si>
    <t>Sep 16, 22</t>
  </si>
  <si>
    <t>Jan 20, 23</t>
  </si>
  <si>
    <t>Jan 19, 24</t>
  </si>
  <si>
    <t>60</t>
  </si>
  <si>
    <t>85</t>
  </si>
  <si>
    <t>70</t>
  </si>
  <si>
    <t>75</t>
  </si>
  <si>
    <t>80</t>
  </si>
  <si>
    <t>90</t>
  </si>
  <si>
    <t>95</t>
  </si>
  <si>
    <t>100</t>
  </si>
  <si>
    <t>105</t>
  </si>
  <si>
    <t>110</t>
  </si>
  <si>
    <t>115</t>
  </si>
  <si>
    <t>data collected on 05/04/22</t>
  </si>
  <si>
    <t>chosen strikes are +/-30% around the price of the underlying S = 83.96</t>
  </si>
  <si>
    <t>strikes are chosen based on available options at differen maturities</t>
  </si>
  <si>
    <t>r</t>
  </si>
  <si>
    <t>Delta Call</t>
  </si>
  <si>
    <t xml:space="preserve">S = </t>
  </si>
  <si>
    <t>today</t>
  </si>
  <si>
    <t>maturity</t>
  </si>
  <si>
    <t>days</t>
  </si>
  <si>
    <t>part of year</t>
  </si>
  <si>
    <t>Box-Spread for deducing discount factor</t>
  </si>
  <si>
    <t>Maturity</t>
  </si>
  <si>
    <t>Call(K1)</t>
  </si>
  <si>
    <t>Call(K2)</t>
  </si>
  <si>
    <t>Put(K1)</t>
  </si>
  <si>
    <t>Put(K2)</t>
  </si>
  <si>
    <t>K1</t>
  </si>
  <si>
    <t>K2</t>
  </si>
  <si>
    <t>K2-K1</t>
  </si>
  <si>
    <t>discount factor</t>
  </si>
  <si>
    <t>Gamma</t>
  </si>
  <si>
    <t>Rho</t>
  </si>
  <si>
    <t>Theta</t>
  </si>
  <si>
    <t>Vega</t>
  </si>
  <si>
    <t>vol_daily</t>
  </si>
  <si>
    <t>vol_yearly</t>
  </si>
  <si>
    <t>strike</t>
  </si>
  <si>
    <t>last price</t>
  </si>
  <si>
    <t>bid</t>
  </si>
  <si>
    <t>ask</t>
  </si>
  <si>
    <t>q=</t>
  </si>
  <si>
    <t>T</t>
  </si>
  <si>
    <t>date</t>
  </si>
  <si>
    <t>r_bloomb</t>
  </si>
  <si>
    <t>BSMCall(S, K, T, r, q, Sigma)</t>
  </si>
  <si>
    <t>historical</t>
  </si>
  <si>
    <t>implied ATM calls</t>
  </si>
  <si>
    <t>vol_imp</t>
  </si>
  <si>
    <t>4 days</t>
  </si>
  <si>
    <t>8  days</t>
  </si>
  <si>
    <t>34  days</t>
  </si>
  <si>
    <t>54  days</t>
  </si>
  <si>
    <t>119  days</t>
  </si>
  <si>
    <t>209  days</t>
  </si>
  <si>
    <t>469  days</t>
  </si>
  <si>
    <t>r_bloomberg</t>
  </si>
  <si>
    <t>BS_price_call</t>
  </si>
  <si>
    <t xml:space="preserve">q = </t>
  </si>
  <si>
    <t xml:space="preserve">Estimating the historical volatility: </t>
  </si>
  <si>
    <t>Pricing ATM call option for the maturities from Part 2</t>
  </si>
  <si>
    <t>Interest rates taken from US zone (posted on Moodle)</t>
  </si>
  <si>
    <t>Not used in the report</t>
  </si>
  <si>
    <t>Quoted price</t>
  </si>
  <si>
    <t>Black-Scholes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</si>
</sst>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9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14" fontId="0" fillId="0" borderId="0" xfId="0" applyNumberFormat="1"/>
    <xf numFmtId="0" fontId="0" fillId="2" borderId="1" xfId="0" applyFont="1" applyFill="1" applyBorder="1"/>
    <xf numFmtId="0" fontId="0" fillId="0" borderId="1" xfId="0" applyFont="1" applyBorder="1"/>
    <xf numFmtId="0" fontId="0" fillId="0" borderId="2" xfId="0" applyFont="1" applyBorder="1"/>
    <xf numFmtId="49" fontId="1" fillId="0" borderId="0" xfId="0" applyNumberFormat="1" applyFont="1"/>
    <xf numFmtId="0" fontId="1" fillId="0" borderId="0" xfId="0" applyFont="1"/>
    <xf numFmtId="0" fontId="0" fillId="2" borderId="2" xfId="0" applyFont="1" applyFill="1" applyBorder="1"/>
    <xf numFmtId="0" fontId="0" fillId="3" borderId="0" xfId="0" applyFill="1"/>
    <xf numFmtId="0" fontId="0" fillId="3" borderId="1" xfId="0" applyFont="1" applyFill="1" applyBorder="1"/>
    <xf numFmtId="0" fontId="0" fillId="4" borderId="1" xfId="0" applyFont="1" applyFill="1" applyBorder="1"/>
    <xf numFmtId="14" fontId="1" fillId="0" borderId="0" xfId="0" applyNumberFormat="1" applyFont="1"/>
  </cellXfs>
  <cellStyles count="1">
    <cellStyle name="Normal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000"/>
              <a:t>Implied Volatility Surface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2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372129942293611"/>
          <c:y val="0.10769974130550573"/>
          <c:w val="0.69534811871517099"/>
          <c:h val="0.72254987911131041"/>
        </c:manualLayout>
      </c:layout>
      <c:surface3DChart>
        <c:wireframe val="1"/>
        <c:ser>
          <c:idx val="0"/>
          <c:order val="0"/>
          <c:tx>
            <c:strRef>
              <c:f>'Implied Vol &amp; Greeks'!$B$1</c:f>
              <c:strCache>
                <c:ptCount val="1"/>
                <c:pt idx="0">
                  <c:v>April 8, 22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'Implied Vol &amp; Greeks'!$A$2:$A$12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Greeks'!$B$2:$B$12</c:f>
              <c:numCache>
                <c:formatCode>General</c:formatCode>
                <c:ptCount val="11"/>
                <c:pt idx="0">
                  <c:v>3.6299000000000001</c:v>
                </c:pt>
                <c:pt idx="1">
                  <c:v>0.85350000000000004</c:v>
                </c:pt>
                <c:pt idx="2">
                  <c:v>0.54490000000000005</c:v>
                </c:pt>
                <c:pt idx="3">
                  <c:v>0.40720000000000001</c:v>
                </c:pt>
                <c:pt idx="4">
                  <c:v>0.4365</c:v>
                </c:pt>
                <c:pt idx="5">
                  <c:v>0.52339999999999998</c:v>
                </c:pt>
                <c:pt idx="6">
                  <c:v>0.6875</c:v>
                </c:pt>
                <c:pt idx="7">
                  <c:v>0.84379999999999999</c:v>
                </c:pt>
                <c:pt idx="8">
                  <c:v>1.0390999999999999</c:v>
                </c:pt>
                <c:pt idx="9">
                  <c:v>1.2422</c:v>
                </c:pt>
                <c:pt idx="10">
                  <c:v>1.6836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8E-439C-94CA-8B9A5A0EDB79}"/>
            </c:ext>
          </c:extLst>
        </c:ser>
        <c:ser>
          <c:idx val="1"/>
          <c:order val="1"/>
          <c:tx>
            <c:strRef>
              <c:f>'Implied Vol &amp; Greeks'!$C$1</c:f>
              <c:strCache>
                <c:ptCount val="1"/>
                <c:pt idx="0">
                  <c:v>April 14, 22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'Implied Vol &amp; Greeks'!$A$2:$A$12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Greeks'!$C$2:$C$12</c:f>
              <c:numCache>
                <c:formatCode>General</c:formatCode>
                <c:ptCount val="11"/>
                <c:pt idx="0">
                  <c:v>0.92969999999999997</c:v>
                </c:pt>
                <c:pt idx="1">
                  <c:v>0.54</c:v>
                </c:pt>
                <c:pt idx="2">
                  <c:v>0.4531</c:v>
                </c:pt>
                <c:pt idx="3">
                  <c:v>0.41239999999999999</c:v>
                </c:pt>
                <c:pt idx="4">
                  <c:v>0.41599999999999998</c:v>
                </c:pt>
                <c:pt idx="5">
                  <c:v>0.4551</c:v>
                </c:pt>
                <c:pt idx="6">
                  <c:v>0.54100000000000004</c:v>
                </c:pt>
                <c:pt idx="7">
                  <c:v>0.625</c:v>
                </c:pt>
                <c:pt idx="8">
                  <c:v>0.75</c:v>
                </c:pt>
                <c:pt idx="9">
                  <c:v>0.75780000000000003</c:v>
                </c:pt>
                <c:pt idx="10">
                  <c:v>0.86719999999999997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8E-439C-94CA-8B9A5A0EDB79}"/>
            </c:ext>
          </c:extLst>
        </c:ser>
        <c:ser>
          <c:idx val="2"/>
          <c:order val="2"/>
          <c:tx>
            <c:strRef>
              <c:f>'Implied Vol &amp; Greeks'!$D$1</c:f>
              <c:strCache>
                <c:ptCount val="1"/>
                <c:pt idx="0">
                  <c:v>May 20, 22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'Implied Vol &amp; Greeks'!$A$2:$A$12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Greeks'!$D$2:$D$12</c:f>
              <c:numCache>
                <c:formatCode>General</c:formatCode>
                <c:ptCount val="11"/>
                <c:pt idx="0">
                  <c:v>0.58109999999999995</c:v>
                </c:pt>
                <c:pt idx="1">
                  <c:v>0.51119999999999999</c:v>
                </c:pt>
                <c:pt idx="2">
                  <c:v>0.50390000000000001</c:v>
                </c:pt>
                <c:pt idx="3">
                  <c:v>0.49259999999999998</c:v>
                </c:pt>
                <c:pt idx="4">
                  <c:v>0.48180000000000001</c:v>
                </c:pt>
                <c:pt idx="5">
                  <c:v>0.4793</c:v>
                </c:pt>
                <c:pt idx="6">
                  <c:v>0.4849</c:v>
                </c:pt>
                <c:pt idx="7">
                  <c:v>0.49559999999999998</c:v>
                </c:pt>
                <c:pt idx="8">
                  <c:v>0.502</c:v>
                </c:pt>
                <c:pt idx="9">
                  <c:v>0.5171</c:v>
                </c:pt>
                <c:pt idx="10">
                  <c:v>0.52639999999999998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8E-439C-94CA-8B9A5A0EDB79}"/>
            </c:ext>
          </c:extLst>
        </c:ser>
        <c:ser>
          <c:idx val="3"/>
          <c:order val="3"/>
          <c:tx>
            <c:strRef>
              <c:f>'Implied Vol &amp; Greeks'!$E$1</c:f>
              <c:strCache>
                <c:ptCount val="1"/>
                <c:pt idx="0">
                  <c:v>June 17, 22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'Implied Vol &amp; Greeks'!$A$2:$A$12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Greeks'!$E$2:$E$12</c:f>
              <c:numCache>
                <c:formatCode>General</c:formatCode>
                <c:ptCount val="11"/>
                <c:pt idx="0">
                  <c:v>0.52710000000000001</c:v>
                </c:pt>
                <c:pt idx="1">
                  <c:v>0.49609999999999999</c:v>
                </c:pt>
                <c:pt idx="2">
                  <c:v>0.4783</c:v>
                </c:pt>
                <c:pt idx="3">
                  <c:v>0.46850000000000003</c:v>
                </c:pt>
                <c:pt idx="4">
                  <c:v>0.45700000000000002</c:v>
                </c:pt>
                <c:pt idx="5">
                  <c:v>0.45350000000000001</c:v>
                </c:pt>
                <c:pt idx="6">
                  <c:v>0.45140000000000002</c:v>
                </c:pt>
                <c:pt idx="7">
                  <c:v>0.45340000000000003</c:v>
                </c:pt>
                <c:pt idx="8">
                  <c:v>0.4602</c:v>
                </c:pt>
                <c:pt idx="9">
                  <c:v>0.46970000000000001</c:v>
                </c:pt>
                <c:pt idx="10">
                  <c:v>0.48020000000000002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8E-439C-94CA-8B9A5A0EDB79}"/>
            </c:ext>
          </c:extLst>
        </c:ser>
        <c:ser>
          <c:idx val="4"/>
          <c:order val="4"/>
          <c:tx>
            <c:strRef>
              <c:f>'Implied Vol &amp; Greeks'!$F$1</c:f>
              <c:strCache>
                <c:ptCount val="1"/>
                <c:pt idx="0">
                  <c:v>Sep 16, 22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'Implied Vol &amp; Greeks'!$A$2:$A$12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Greeks'!$F$2:$F$12</c:f>
              <c:numCache>
                <c:formatCode>General</c:formatCode>
                <c:ptCount val="11"/>
                <c:pt idx="0">
                  <c:v>0.51170000000000004</c:v>
                </c:pt>
                <c:pt idx="1">
                  <c:v>0.49280000000000002</c:v>
                </c:pt>
                <c:pt idx="2">
                  <c:v>0.47610000000000002</c:v>
                </c:pt>
                <c:pt idx="3">
                  <c:v>0.46589999999999998</c:v>
                </c:pt>
                <c:pt idx="4">
                  <c:v>0.45219999999999999</c:v>
                </c:pt>
                <c:pt idx="5">
                  <c:v>0.44929999999999998</c:v>
                </c:pt>
                <c:pt idx="6">
                  <c:v>0.44280000000000003</c:v>
                </c:pt>
                <c:pt idx="7">
                  <c:v>0.44190000000000002</c:v>
                </c:pt>
                <c:pt idx="8">
                  <c:v>0.4335</c:v>
                </c:pt>
                <c:pt idx="9">
                  <c:v>0.45119999999999999</c:v>
                </c:pt>
                <c:pt idx="10">
                  <c:v>0.44280000000000003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8E-439C-94CA-8B9A5A0EDB79}"/>
            </c:ext>
          </c:extLst>
        </c:ser>
        <c:ser>
          <c:idx val="5"/>
          <c:order val="5"/>
          <c:tx>
            <c:strRef>
              <c:f>'Implied Vol &amp; Greeks'!$G$1</c:f>
              <c:strCache>
                <c:ptCount val="1"/>
                <c:pt idx="0">
                  <c:v>Jan 20, 23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'Implied Vol &amp; Greeks'!$A$2:$A$12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Greeks'!$G$2:$G$12</c:f>
              <c:numCache>
                <c:formatCode>General</c:formatCode>
                <c:ptCount val="11"/>
                <c:pt idx="0">
                  <c:v>0.50529999999999997</c:v>
                </c:pt>
                <c:pt idx="1">
                  <c:v>0.4894</c:v>
                </c:pt>
                <c:pt idx="2">
                  <c:v>0.47460000000000002</c:v>
                </c:pt>
                <c:pt idx="3">
                  <c:v>0.46450000000000002</c:v>
                </c:pt>
                <c:pt idx="4">
                  <c:v>0.45700000000000002</c:v>
                </c:pt>
                <c:pt idx="5">
                  <c:v>0.44729999999999998</c:v>
                </c:pt>
                <c:pt idx="6">
                  <c:v>0.44090000000000001</c:v>
                </c:pt>
                <c:pt idx="7">
                  <c:v>0.43519999999999998</c:v>
                </c:pt>
                <c:pt idx="8">
                  <c:v>0.43319999999999997</c:v>
                </c:pt>
                <c:pt idx="9">
                  <c:v>0.43419999999999997</c:v>
                </c:pt>
                <c:pt idx="10">
                  <c:v>0.4335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8E-439C-94CA-8B9A5A0EDB79}"/>
            </c:ext>
          </c:extLst>
        </c:ser>
        <c:ser>
          <c:idx val="6"/>
          <c:order val="6"/>
          <c:tx>
            <c:strRef>
              <c:f>'Implied Vol &amp; Greeks'!$H$1</c:f>
              <c:strCache>
                <c:ptCount val="1"/>
                <c:pt idx="0">
                  <c:v>Jan 19, 24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'Implied Vol &amp; Greeks'!$A$2:$A$12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Greeks'!$H$2:$H$12</c:f>
              <c:numCache>
                <c:formatCode>General</c:formatCode>
                <c:ptCount val="11"/>
                <c:pt idx="0">
                  <c:v>0.50639999999999996</c:v>
                </c:pt>
                <c:pt idx="1">
                  <c:v>0.503</c:v>
                </c:pt>
                <c:pt idx="2">
                  <c:v>0.49270000000000003</c:v>
                </c:pt>
                <c:pt idx="3">
                  <c:v>0.48459999999999998</c:v>
                </c:pt>
                <c:pt idx="4">
                  <c:v>0.47739999999999999</c:v>
                </c:pt>
                <c:pt idx="5">
                  <c:v>0.4713</c:v>
                </c:pt>
                <c:pt idx="6">
                  <c:v>0.43159999999999998</c:v>
                </c:pt>
                <c:pt idx="7">
                  <c:v>0.46750000000000003</c:v>
                </c:pt>
                <c:pt idx="8">
                  <c:v>0.4551</c:v>
                </c:pt>
                <c:pt idx="9">
                  <c:v>0.45140000000000002</c:v>
                </c:pt>
                <c:pt idx="10">
                  <c:v>0.44869999999999999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8E-439C-94CA-8B9A5A0EDB79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641951296"/>
        <c:axId val="1641953264"/>
        <c:axId val="1127918768"/>
      </c:surface3DChart>
      <c:catAx>
        <c:axId val="164195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500"/>
                  <a:t>Strike Prices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953264"/>
        <c:crosses val="autoZero"/>
        <c:auto val="1"/>
        <c:lblAlgn val="ctr"/>
        <c:lblOffset val="100"/>
        <c:noMultiLvlLbl val="0"/>
      </c:catAx>
      <c:valAx>
        <c:axId val="164195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500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951296"/>
        <c:crosses val="autoZero"/>
        <c:crossBetween val="midCat"/>
      </c:valAx>
      <c:serAx>
        <c:axId val="112791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500"/>
                  <a:t>Maturities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953264"/>
        <c:crosses val="autoZero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7069240567609E-2"/>
          <c:y val="0.89231219197881084"/>
          <c:w val="0.82081006059820283"/>
          <c:h val="8.1355232814169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'Implied Vol &amp; Greeks'!$B$22</c:f>
              <c:strCache>
                <c:ptCount val="1"/>
                <c:pt idx="0">
                  <c:v>0.015873016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'Implied Vol &amp; Greeks'!$A$23:$A$33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Greeks'!$B$23:$B$33</c:f>
              <c:numCache>
                <c:formatCode>General</c:formatCode>
                <c:ptCount val="11"/>
                <c:pt idx="0">
                  <c:v>0.83240064455864393</c:v>
                </c:pt>
                <c:pt idx="1">
                  <c:v>0.95961908617478031</c:v>
                </c:pt>
                <c:pt idx="2">
                  <c:v>0.95356088231154235</c:v>
                </c:pt>
                <c:pt idx="3">
                  <c:v>0.83406984976419141</c:v>
                </c:pt>
                <c:pt idx="4">
                  <c:v>0.42325060687761362</c:v>
                </c:pt>
                <c:pt idx="5">
                  <c:v>0.15429148651364666</c:v>
                </c:pt>
                <c:pt idx="6">
                  <c:v>8.3613518246320975E-2</c:v>
                </c:pt>
                <c:pt idx="7">
                  <c:v>5.5922427954008223E-2</c:v>
                </c:pt>
                <c:pt idx="8">
                  <c:v>5.0345155553572857E-2</c:v>
                </c:pt>
                <c:pt idx="9">
                  <c:v>4.9791428774725977E-2</c:v>
                </c:pt>
                <c:pt idx="10">
                  <c:v>8.4356470898293817E-2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46-4093-9446-8B6F11D11DDF}"/>
            </c:ext>
          </c:extLst>
        </c:ser>
        <c:ser>
          <c:idx val="1"/>
          <c:order val="1"/>
          <c:tx>
            <c:strRef>
              <c:f>'Implied Vol &amp; Greeks'!$C$22</c:f>
              <c:strCache>
                <c:ptCount val="1"/>
                <c:pt idx="0">
                  <c:v>0.031746032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'Implied Vol &amp; Greeks'!$A$23:$A$33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Greeks'!$C$23:$C$33</c:f>
              <c:numCache>
                <c:formatCode>General</c:formatCode>
                <c:ptCount val="11"/>
                <c:pt idx="0">
                  <c:v>0.98270106859371809</c:v>
                </c:pt>
                <c:pt idx="1">
                  <c:v>0.9738882859269743</c:v>
                </c:pt>
                <c:pt idx="2">
                  <c:v>0.92535354810320358</c:v>
                </c:pt>
                <c:pt idx="3">
                  <c:v>0.75754065398473525</c:v>
                </c:pt>
                <c:pt idx="4">
                  <c:v>0.45029652868766779</c:v>
                </c:pt>
                <c:pt idx="5">
                  <c:v>0.20827683076060785</c:v>
                </c:pt>
                <c:pt idx="6">
                  <c:v>0.10930399509306704</c:v>
                </c:pt>
                <c:pt idx="7">
                  <c:v>6.5324725652786533E-2</c:v>
                </c:pt>
                <c:pt idx="8">
                  <c:v>5.4322003247561847E-2</c:v>
                </c:pt>
                <c:pt idx="9">
                  <c:v>2.6743827640920908E-2</c:v>
                </c:pt>
                <c:pt idx="10">
                  <c:v>2.51858951091549E-2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46-4093-9446-8B6F11D11DDF}"/>
            </c:ext>
          </c:extLst>
        </c:ser>
        <c:ser>
          <c:idx val="2"/>
          <c:order val="2"/>
          <c:tx>
            <c:strRef>
              <c:f>'Implied Vol &amp; Greeks'!$D$22</c:f>
              <c:strCache>
                <c:ptCount val="1"/>
                <c:pt idx="0">
                  <c:v>0.134920635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'Implied Vol &amp; Greeks'!$A$23:$A$33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Greeks'!$D$23:$D$33</c:f>
              <c:numCache>
                <c:formatCode>General</c:formatCode>
                <c:ptCount val="11"/>
                <c:pt idx="0">
                  <c:v>0.95419298161032895</c:v>
                </c:pt>
                <c:pt idx="1">
                  <c:v>0.85751788380783489</c:v>
                </c:pt>
                <c:pt idx="2">
                  <c:v>0.76092171428095645</c:v>
                </c:pt>
                <c:pt idx="3">
                  <c:v>0.64231633490520057</c:v>
                </c:pt>
                <c:pt idx="4">
                  <c:v>0.5104729401899516</c:v>
                </c:pt>
                <c:pt idx="5">
                  <c:v>0.38239657819322448</c:v>
                </c:pt>
                <c:pt idx="6">
                  <c:v>0.27516996697229856</c:v>
                </c:pt>
                <c:pt idx="7">
                  <c:v>0.19427901906590245</c:v>
                </c:pt>
                <c:pt idx="8">
                  <c:v>0.13274546636219439</c:v>
                </c:pt>
                <c:pt idx="9">
                  <c:v>9.3343030259563115E-2</c:v>
                </c:pt>
                <c:pt idx="10">
                  <c:v>6.3800683102274366E-2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46-4093-9446-8B6F11D11DDF}"/>
            </c:ext>
          </c:extLst>
        </c:ser>
        <c:ser>
          <c:idx val="3"/>
          <c:order val="3"/>
          <c:tx>
            <c:strRef>
              <c:f>'Implied Vol &amp; Greeks'!$E$22</c:f>
              <c:strCache>
                <c:ptCount val="1"/>
                <c:pt idx="0">
                  <c:v>0.214285714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'Implied Vol &amp; Greeks'!$A$23:$A$33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Greeks'!$E$23:$E$33</c:f>
              <c:numCache>
                <c:formatCode>General</c:formatCode>
                <c:ptCount val="11"/>
                <c:pt idx="0">
                  <c:v>0.9341740244815383</c:v>
                </c:pt>
                <c:pt idx="1">
                  <c:v>0.82011025836618101</c:v>
                </c:pt>
                <c:pt idx="2">
                  <c:v>0.73560896793299979</c:v>
                </c:pt>
                <c:pt idx="3">
                  <c:v>0.6333998595043151</c:v>
                </c:pt>
                <c:pt idx="4">
                  <c:v>0.52292065341223748</c:v>
                </c:pt>
                <c:pt idx="5">
                  <c:v>0.41450492761368574</c:v>
                </c:pt>
                <c:pt idx="6">
                  <c:v>0.31678856243691933</c:v>
                </c:pt>
                <c:pt idx="7">
                  <c:v>0.23635983889620354</c:v>
                </c:pt>
                <c:pt idx="8">
                  <c:v>0.1753184788111336</c:v>
                </c:pt>
                <c:pt idx="9">
                  <c:v>0.13048981306274934</c:v>
                </c:pt>
                <c:pt idx="10">
                  <c:v>9.7717941834413596E-2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6-4093-9446-8B6F11D11DDF}"/>
            </c:ext>
          </c:extLst>
        </c:ser>
        <c:ser>
          <c:idx val="4"/>
          <c:order val="4"/>
          <c:tx>
            <c:strRef>
              <c:f>'Implied Vol &amp; Greeks'!$F$22</c:f>
              <c:strCache>
                <c:ptCount val="1"/>
                <c:pt idx="0">
                  <c:v>0.293650794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'Implied Vol &amp; Greeks'!$A$23:$A$33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Greeks'!$F$23:$F$33</c:f>
              <c:numCache>
                <c:formatCode>General</c:formatCode>
                <c:ptCount val="11"/>
                <c:pt idx="0">
                  <c:v>0.91385048473360375</c:v>
                </c:pt>
                <c:pt idx="1">
                  <c:v>0.79659406729329352</c:v>
                </c:pt>
                <c:pt idx="2">
                  <c:v>0.71971246150080481</c:v>
                </c:pt>
                <c:pt idx="3">
                  <c:v>0.63062603300121733</c:v>
                </c:pt>
                <c:pt idx="4">
                  <c:v>0.53533101188217624</c:v>
                </c:pt>
                <c:pt idx="5">
                  <c:v>0.44153104635658913</c:v>
                </c:pt>
                <c:pt idx="6">
                  <c:v>0.35267009837287627</c:v>
                </c:pt>
                <c:pt idx="7">
                  <c:v>0.27639627817644707</c:v>
                </c:pt>
                <c:pt idx="8">
                  <c:v>0.20685724204453679</c:v>
                </c:pt>
                <c:pt idx="9">
                  <c:v>0.16697960624845357</c:v>
                </c:pt>
                <c:pt idx="10">
                  <c:v>0.12012811855453873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6-4093-9446-8B6F11D11DDF}"/>
            </c:ext>
          </c:extLst>
        </c:ser>
        <c:ser>
          <c:idx val="5"/>
          <c:order val="5"/>
          <c:tx>
            <c:strRef>
              <c:f>'Implied Vol &amp; Greeks'!$G$22</c:f>
              <c:strCache>
                <c:ptCount val="1"/>
                <c:pt idx="0">
                  <c:v>0.829365079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'Implied Vol &amp; Greeks'!$A$23:$A$33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Greeks'!$G$23:$G$33</c:f>
              <c:numCache>
                <c:formatCode>General</c:formatCode>
                <c:ptCount val="11"/>
                <c:pt idx="0">
                  <c:v>0.83927164264595144</c:v>
                </c:pt>
                <c:pt idx="1">
                  <c:v>0.74636628089595591</c:v>
                </c:pt>
                <c:pt idx="2">
                  <c:v>0.69513618571647473</c:v>
                </c:pt>
                <c:pt idx="3">
                  <c:v>0.64046303170481833</c:v>
                </c:pt>
                <c:pt idx="4">
                  <c:v>0.58435484731261045</c:v>
                </c:pt>
                <c:pt idx="5">
                  <c:v>0.52727480828795215</c:v>
                </c:pt>
                <c:pt idx="6">
                  <c:v>0.47165471684790267</c:v>
                </c:pt>
                <c:pt idx="7">
                  <c:v>0.41812733622608761</c:v>
                </c:pt>
                <c:pt idx="8">
                  <c:v>0.36951496703274872</c:v>
                </c:pt>
                <c:pt idx="9">
                  <c:v>0.32667711012872247</c:v>
                </c:pt>
                <c:pt idx="10">
                  <c:v>0.28669442627541147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6-4093-9446-8B6F11D11DDF}"/>
            </c:ext>
          </c:extLst>
        </c:ser>
        <c:ser>
          <c:idx val="6"/>
          <c:order val="6"/>
          <c:tx>
            <c:strRef>
              <c:f>'Implied Vol &amp; Greeks'!$H$22</c:f>
              <c:strCache>
                <c:ptCount val="1"/>
                <c:pt idx="0">
                  <c:v>1.861111111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'Implied Vol &amp; Greeks'!$A$23:$A$33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Greeks'!$H$23:$H$33</c:f>
              <c:numCache>
                <c:formatCode>General</c:formatCode>
                <c:ptCount val="11"/>
                <c:pt idx="0">
                  <c:v>0.8168055547722759</c:v>
                </c:pt>
                <c:pt idx="1">
                  <c:v>0.75176912950204611</c:v>
                </c:pt>
                <c:pt idx="2">
                  <c:v>0.71817940091515875</c:v>
                </c:pt>
                <c:pt idx="3">
                  <c:v>0.68379176810207598</c:v>
                </c:pt>
                <c:pt idx="4">
                  <c:v>0.64897727056476917</c:v>
                </c:pt>
                <c:pt idx="5">
                  <c:v>0.61418278696995121</c:v>
                </c:pt>
                <c:pt idx="6">
                  <c:v>0.5668884569192455</c:v>
                </c:pt>
                <c:pt idx="7">
                  <c:v>0.54862638310726775</c:v>
                </c:pt>
                <c:pt idx="8">
                  <c:v>0.51188241206180241</c:v>
                </c:pt>
                <c:pt idx="9">
                  <c:v>0.47983106020190924</c:v>
                </c:pt>
                <c:pt idx="10">
                  <c:v>0.44939309428264268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46-4093-9446-8B6F11D11DD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517092272"/>
        <c:axId val="517092600"/>
        <c:axId val="512561264"/>
      </c:surface3DChart>
      <c:catAx>
        <c:axId val="51709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2600"/>
        <c:crosses val="autoZero"/>
        <c:auto val="1"/>
        <c:lblAlgn val="ctr"/>
        <c:lblOffset val="100"/>
        <c:noMultiLvlLbl val="0"/>
      </c:catAx>
      <c:valAx>
        <c:axId val="51709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2272"/>
        <c:crosses val="autoZero"/>
        <c:crossBetween val="midCat"/>
      </c:valAx>
      <c:serAx>
        <c:axId val="5125612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260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'Implied Vol &amp; Greeks'!$B$37</c:f>
              <c:strCache>
                <c:ptCount val="1"/>
                <c:pt idx="0">
                  <c:v>0.015873016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'Implied Vol &amp; Greeks'!$A$38:$A$48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Greeks'!$B$38:$B$48</c:f>
              <c:numCache>
                <c:formatCode>General</c:formatCode>
                <c:ptCount val="11"/>
                <c:pt idx="0">
                  <c:v>6.5305044908581539E-3</c:v>
                </c:pt>
                <c:pt idx="1">
                  <c:v>9.6186275433470438E-3</c:v>
                </c:pt>
                <c:pt idx="2">
                  <c:v>1.6866230928448793E-2</c:v>
                </c:pt>
                <c:pt idx="3">
                  <c:v>5.7840080008136084E-2</c:v>
                </c:pt>
                <c:pt idx="4">
                  <c:v>8.4798091186449084E-2</c:v>
                </c:pt>
                <c:pt idx="5">
                  <c:v>4.2909249025218241E-2</c:v>
                </c:pt>
                <c:pt idx="6">
                  <c:v>2.1134849354907791E-2</c:v>
                </c:pt>
                <c:pt idx="7">
                  <c:v>1.2627844885677551E-2</c:v>
                </c:pt>
                <c:pt idx="8">
                  <c:v>9.4347622020952548E-3</c:v>
                </c:pt>
                <c:pt idx="9">
                  <c:v>7.822888809674718E-3</c:v>
                </c:pt>
                <c:pt idx="10">
                  <c:v>8.6879586348518074E-3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C5-4D14-B776-C9C20B8B706A}"/>
            </c:ext>
          </c:extLst>
        </c:ser>
        <c:ser>
          <c:idx val="1"/>
          <c:order val="1"/>
          <c:tx>
            <c:strRef>
              <c:f>'Implied Vol &amp; Greeks'!$C$37</c:f>
              <c:strCache>
                <c:ptCount val="1"/>
                <c:pt idx="0">
                  <c:v>0.031746032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'Implied Vol &amp; Greeks'!$A$38:$A$48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Greeks'!$C$38:$C$48</c:f>
              <c:numCache>
                <c:formatCode>General</c:formatCode>
                <c:ptCount val="11"/>
                <c:pt idx="0">
                  <c:v>3.0768524053496884E-3</c:v>
                </c:pt>
                <c:pt idx="1">
                  <c:v>7.503411599450234E-3</c:v>
                </c:pt>
                <c:pt idx="2">
                  <c:v>2.0808926301972144E-2</c:v>
                </c:pt>
                <c:pt idx="3">
                  <c:v>5.0670348867095726E-2</c:v>
                </c:pt>
                <c:pt idx="4">
                  <c:v>6.3607953224127961E-2</c:v>
                </c:pt>
                <c:pt idx="5">
                  <c:v>4.2127436673325566E-2</c:v>
                </c:pt>
                <c:pt idx="6">
                  <c:v>2.3128444960238151E-2</c:v>
                </c:pt>
                <c:pt idx="7">
                  <c:v>1.3613858955728657E-2</c:v>
                </c:pt>
                <c:pt idx="8">
                  <c:v>9.8181645918922027E-3</c:v>
                </c:pt>
                <c:pt idx="9">
                  <c:v>5.4548066439988104E-3</c:v>
                </c:pt>
                <c:pt idx="10">
                  <c:v>4.5332354579439536E-3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5-4D14-B776-C9C20B8B706A}"/>
            </c:ext>
          </c:extLst>
        </c:ser>
        <c:ser>
          <c:idx val="2"/>
          <c:order val="2"/>
          <c:tx>
            <c:strRef>
              <c:f>'Implied Vol &amp; Greeks'!$D$37</c:f>
              <c:strCache>
                <c:ptCount val="1"/>
                <c:pt idx="0">
                  <c:v>0.134920635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'Implied Vol &amp; Greeks'!$A$38:$A$48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Greeks'!$D$38:$D$48</c:f>
              <c:numCache>
                <c:formatCode>General</c:formatCode>
                <c:ptCount val="11"/>
                <c:pt idx="0">
                  <c:v>5.3652994433387776E-3</c:v>
                </c:pt>
                <c:pt idx="1">
                  <c:v>1.4287345456624018E-2</c:v>
                </c:pt>
                <c:pt idx="2">
                  <c:v>1.9962501448178915E-2</c:v>
                </c:pt>
                <c:pt idx="3">
                  <c:v>2.4571344300369218E-2</c:v>
                </c:pt>
                <c:pt idx="4">
                  <c:v>2.6839966507177508E-2</c:v>
                </c:pt>
                <c:pt idx="5">
                  <c:v>2.5807909717471739E-2</c:v>
                </c:pt>
                <c:pt idx="6">
                  <c:v>2.2319681242039188E-2</c:v>
                </c:pt>
                <c:pt idx="7">
                  <c:v>1.7998200658298349E-2</c:v>
                </c:pt>
                <c:pt idx="8">
                  <c:v>1.3862914631911428E-2</c:v>
                </c:pt>
                <c:pt idx="9">
                  <c:v>1.0461902678947376E-2</c:v>
                </c:pt>
                <c:pt idx="10">
                  <c:v>7.6981610165720278E-3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C5-4D14-B776-C9C20B8B706A}"/>
            </c:ext>
          </c:extLst>
        </c:ser>
        <c:ser>
          <c:idx val="3"/>
          <c:order val="3"/>
          <c:tx>
            <c:strRef>
              <c:f>'Implied Vol &amp; Greeks'!$E$37</c:f>
              <c:strCache>
                <c:ptCount val="1"/>
                <c:pt idx="0">
                  <c:v>0.214285714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'Implied Vol &amp; Greeks'!$A$38:$A$48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Greeks'!$E$38:$E$48</c:f>
              <c:numCache>
                <c:formatCode>General</c:formatCode>
                <c:ptCount val="11"/>
                <c:pt idx="0">
                  <c:v>6.2501505947714529E-3</c:v>
                </c:pt>
                <c:pt idx="1">
                  <c:v>1.3603744933962932E-2</c:v>
                </c:pt>
                <c:pt idx="2">
                  <c:v>1.7599141500701333E-2</c:v>
                </c:pt>
                <c:pt idx="3">
                  <c:v>2.0672849908462125E-2</c:v>
                </c:pt>
                <c:pt idx="4">
                  <c:v>2.2423698875980759E-2</c:v>
                </c:pt>
                <c:pt idx="5">
                  <c:v>2.2112363941548255E-2</c:v>
                </c:pt>
                <c:pt idx="6">
                  <c:v>2.0297133162259357E-2</c:v>
                </c:pt>
                <c:pt idx="7">
                  <c:v>1.7494272029281673E-2</c:v>
                </c:pt>
                <c:pt idx="8">
                  <c:v>1.4428675041801849E-2</c:v>
                </c:pt>
                <c:pt idx="9">
                  <c:v>1.1618322260472788E-2</c:v>
                </c:pt>
                <c:pt idx="10">
                  <c:v>9.2458322157060926E-3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C5-4D14-B776-C9C20B8B706A}"/>
            </c:ext>
          </c:extLst>
        </c:ser>
        <c:ser>
          <c:idx val="4"/>
          <c:order val="4"/>
          <c:tx>
            <c:strRef>
              <c:f>'Implied Vol &amp; Greeks'!$F$37</c:f>
              <c:strCache>
                <c:ptCount val="1"/>
                <c:pt idx="0">
                  <c:v>0.293650794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'Implied Vol &amp; Greeks'!$A$38:$A$48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Greeks'!$F$38:$F$48</c:f>
              <c:numCache>
                <c:formatCode>General</c:formatCode>
                <c:ptCount val="11"/>
                <c:pt idx="0">
                  <c:v>6.7514829190946932E-3</c:v>
                </c:pt>
                <c:pt idx="1">
                  <c:v>1.2613413436798667E-2</c:v>
                </c:pt>
                <c:pt idx="2">
                  <c:v>1.5547982155367122E-2</c:v>
                </c:pt>
                <c:pt idx="3">
                  <c:v>1.7802295787324441E-2</c:v>
                </c:pt>
                <c:pt idx="4">
                  <c:v>1.9314518964238303E-2</c:v>
                </c:pt>
                <c:pt idx="5">
                  <c:v>1.9305792562623995E-2</c:v>
                </c:pt>
                <c:pt idx="6">
                  <c:v>1.8436037708276457E-2</c:v>
                </c:pt>
                <c:pt idx="7">
                  <c:v>1.6637527868782677E-2</c:v>
                </c:pt>
                <c:pt idx="8">
                  <c:v>1.4482937782714683E-2</c:v>
                </c:pt>
                <c:pt idx="9">
                  <c:v>1.2185671171294078E-2</c:v>
                </c:pt>
                <c:pt idx="10">
                  <c:v>9.9368532209393422E-3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C5-4D14-B776-C9C20B8B706A}"/>
            </c:ext>
          </c:extLst>
        </c:ser>
        <c:ser>
          <c:idx val="5"/>
          <c:order val="5"/>
          <c:tx>
            <c:strRef>
              <c:f>'Implied Vol &amp; Greeks'!$G$37</c:f>
              <c:strCache>
                <c:ptCount val="1"/>
                <c:pt idx="0">
                  <c:v>0.829365079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'Implied Vol &amp; Greeks'!$A$38:$A$48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Greeks'!$G$38:$G$48</c:f>
              <c:numCache>
                <c:formatCode>General</c:formatCode>
                <c:ptCount val="11"/>
                <c:pt idx="0">
                  <c:v>6.3162231965685368E-3</c:v>
                </c:pt>
                <c:pt idx="1">
                  <c:v>8.5569939291296835E-3</c:v>
                </c:pt>
                <c:pt idx="2">
                  <c:v>9.6506061792338803E-3</c:v>
                </c:pt>
                <c:pt idx="3">
                  <c:v>1.0528928036022372E-2</c:v>
                </c:pt>
                <c:pt idx="4">
                  <c:v>1.1160726407603089E-2</c:v>
                </c:pt>
                <c:pt idx="5">
                  <c:v>1.1637221488073753E-2</c:v>
                </c:pt>
                <c:pt idx="6">
                  <c:v>1.1803929326958017E-2</c:v>
                </c:pt>
                <c:pt idx="7">
                  <c:v>1.1735443127703317E-2</c:v>
                </c:pt>
                <c:pt idx="8">
                  <c:v>1.1394022645413926E-2</c:v>
                </c:pt>
                <c:pt idx="9">
                  <c:v>1.0863678587444459E-2</c:v>
                </c:pt>
                <c:pt idx="10">
                  <c:v>1.0271412899353216E-2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C5-4D14-B776-C9C20B8B706A}"/>
            </c:ext>
          </c:extLst>
        </c:ser>
        <c:ser>
          <c:idx val="6"/>
          <c:order val="6"/>
          <c:tx>
            <c:strRef>
              <c:f>'Implied Vol &amp; Greeks'!$H$37</c:f>
              <c:strCache>
                <c:ptCount val="1"/>
                <c:pt idx="0">
                  <c:v>1.861111111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'Implied Vol &amp; Greeks'!$A$38:$A$48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Greeks'!$H$38:$H$48</c:f>
              <c:numCache>
                <c:formatCode>General</c:formatCode>
                <c:ptCount val="11"/>
                <c:pt idx="0">
                  <c:v>4.5739636837750569E-3</c:v>
                </c:pt>
                <c:pt idx="1">
                  <c:v>5.4948354254317263E-3</c:v>
                </c:pt>
                <c:pt idx="2">
                  <c:v>5.983614612058377E-3</c:v>
                </c:pt>
                <c:pt idx="3">
                  <c:v>6.410401061279514E-3</c:v>
                </c:pt>
                <c:pt idx="4">
                  <c:v>6.7809255352953724E-3</c:v>
                </c:pt>
                <c:pt idx="5">
                  <c:v>7.0853615727392034E-3</c:v>
                </c:pt>
                <c:pt idx="6">
                  <c:v>7.9562392267182435E-3</c:v>
                </c:pt>
                <c:pt idx="7">
                  <c:v>7.3948213681109829E-3</c:v>
                </c:pt>
                <c:pt idx="8">
                  <c:v>7.6498329900948252E-3</c:v>
                </c:pt>
                <c:pt idx="9">
                  <c:v>7.706096575569938E-3</c:v>
                </c:pt>
                <c:pt idx="10">
                  <c:v>7.6998504960923142E-3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5-4D14-B776-C9C20B8B706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925200520"/>
        <c:axId val="925206752"/>
        <c:axId val="661038240"/>
      </c:surface3DChart>
      <c:catAx>
        <c:axId val="925200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206752"/>
        <c:crosses val="autoZero"/>
        <c:auto val="1"/>
        <c:lblAlgn val="ctr"/>
        <c:lblOffset val="100"/>
        <c:noMultiLvlLbl val="0"/>
      </c:catAx>
      <c:valAx>
        <c:axId val="92520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200520"/>
        <c:crosses val="autoZero"/>
        <c:crossBetween val="midCat"/>
      </c:valAx>
      <c:serAx>
        <c:axId val="6610382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20675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'Implied Vol &amp; Greeks'!$B$67</c:f>
              <c:strCache>
                <c:ptCount val="1"/>
                <c:pt idx="0">
                  <c:v>0.015873016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'Implied Vol &amp; Greeks'!$A$68:$A$78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Greeks'!$B$68:$B$78</c:f>
              <c:numCache>
                <c:formatCode>General</c:formatCode>
                <c:ptCount val="11"/>
                <c:pt idx="0">
                  <c:v>-303.68519714764949</c:v>
                </c:pt>
                <c:pt idx="1">
                  <c:v>-25.335465292011744</c:v>
                </c:pt>
                <c:pt idx="2">
                  <c:v>-18.333442336630124</c:v>
                </c:pt>
                <c:pt idx="3">
                  <c:v>-34.434820659923183</c:v>
                </c:pt>
                <c:pt idx="4">
                  <c:v>-57.275239204609079</c:v>
                </c:pt>
                <c:pt idx="5">
                  <c:v>-41.552161139469462</c:v>
                </c:pt>
                <c:pt idx="6">
                  <c:v>-35.274393898274099</c:v>
                </c:pt>
                <c:pt idx="7">
                  <c:v>-31.733255713581016</c:v>
                </c:pt>
                <c:pt idx="8">
                  <c:v>-35.943989317721766</c:v>
                </c:pt>
                <c:pt idx="9">
                  <c:v>-42.584341770525597</c:v>
                </c:pt>
                <c:pt idx="10">
                  <c:v>-86.86016711707147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06-4CB5-861C-3AB9668C7FE1}"/>
            </c:ext>
          </c:extLst>
        </c:ser>
        <c:ser>
          <c:idx val="1"/>
          <c:order val="1"/>
          <c:tx>
            <c:strRef>
              <c:f>'Implied Vol &amp; Greeks'!$C$67</c:f>
              <c:strCache>
                <c:ptCount val="1"/>
                <c:pt idx="0">
                  <c:v>0.031746032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'Implied Vol &amp; Greeks'!$A$68:$A$78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Greeks'!$C$68:$C$78</c:f>
              <c:numCache>
                <c:formatCode>General</c:formatCode>
                <c:ptCount val="11"/>
                <c:pt idx="0">
                  <c:v>-9.9355925963029073</c:v>
                </c:pt>
                <c:pt idx="1">
                  <c:v>-8.3629789837338961</c:v>
                </c:pt>
                <c:pt idx="2">
                  <c:v>-15.716005023376011</c:v>
                </c:pt>
                <c:pt idx="3">
                  <c:v>-30.938800398609178</c:v>
                </c:pt>
                <c:pt idx="4">
                  <c:v>-39.142447786534625</c:v>
                </c:pt>
                <c:pt idx="5">
                  <c:v>-30.914187019900599</c:v>
                </c:pt>
                <c:pt idx="6">
                  <c:v>-23.943509755622287</c:v>
                </c:pt>
                <c:pt idx="7">
                  <c:v>-18.794020132938112</c:v>
                </c:pt>
                <c:pt idx="8">
                  <c:v>-19.50709396065227</c:v>
                </c:pt>
                <c:pt idx="9">
                  <c:v>-11.061404990705491</c:v>
                </c:pt>
                <c:pt idx="10">
                  <c:v>-12.035256005810281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06-4CB5-861C-3AB9668C7FE1}"/>
            </c:ext>
          </c:extLst>
        </c:ser>
        <c:ser>
          <c:idx val="2"/>
          <c:order val="2"/>
          <c:tx>
            <c:strRef>
              <c:f>'Implied Vol &amp; Greeks'!$D$67</c:f>
              <c:strCache>
                <c:ptCount val="1"/>
                <c:pt idx="0">
                  <c:v>0.134920635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'Implied Vol &amp; Greeks'!$A$68:$A$78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Greeks'!$D$68:$D$78</c:f>
              <c:numCache>
                <c:formatCode>General</c:formatCode>
                <c:ptCount val="11"/>
                <c:pt idx="0">
                  <c:v>-6.9214687214798083</c:v>
                </c:pt>
                <c:pt idx="1">
                  <c:v>-13.704973414948183</c:v>
                </c:pt>
                <c:pt idx="2">
                  <c:v>-18.369805435143185</c:v>
                </c:pt>
                <c:pt idx="3">
                  <c:v>-21.455322595566336</c:v>
                </c:pt>
                <c:pt idx="4">
                  <c:v>-22.319182560802265</c:v>
                </c:pt>
                <c:pt idx="5">
                  <c:v>-21.171205919708243</c:v>
                </c:pt>
                <c:pt idx="6">
                  <c:v>-18.697125677380367</c:v>
                </c:pt>
                <c:pt idx="7">
                  <c:v>-15.7237167897138</c:v>
                </c:pt>
                <c:pt idx="8">
                  <c:v>-12.411349150386101</c:v>
                </c:pt>
                <c:pt idx="9">
                  <c:v>-9.9291173210414172</c:v>
                </c:pt>
                <c:pt idx="10">
                  <c:v>-7.5660247838976709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06-4CB5-861C-3AB9668C7FE1}"/>
            </c:ext>
          </c:extLst>
        </c:ser>
        <c:ser>
          <c:idx val="3"/>
          <c:order val="3"/>
          <c:tx>
            <c:strRef>
              <c:f>'Implied Vol &amp; Greeks'!$E$67</c:f>
              <c:strCache>
                <c:ptCount val="1"/>
                <c:pt idx="0">
                  <c:v>0.214285714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'Implied Vol &amp; Greeks'!$A$68:$A$78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Greeks'!$E$68:$E$78</c:f>
              <c:numCache>
                <c:formatCode>General</c:formatCode>
                <c:ptCount val="11"/>
                <c:pt idx="0">
                  <c:v>-6.6455526462273582</c:v>
                </c:pt>
                <c:pt idx="1">
                  <c:v>-12.315545251199039</c:v>
                </c:pt>
                <c:pt idx="2">
                  <c:v>-14.67268098099499</c:v>
                </c:pt>
                <c:pt idx="3">
                  <c:v>-16.421938378531948</c:v>
                </c:pt>
                <c:pt idx="4">
                  <c:v>-16.870364025012851</c:v>
                </c:pt>
                <c:pt idx="5">
                  <c:v>-16.32317179033145</c:v>
                </c:pt>
                <c:pt idx="6">
                  <c:v>-14.805593147940412</c:v>
                </c:pt>
                <c:pt idx="7">
                  <c:v>-12.848168876680251</c:v>
                </c:pt>
                <c:pt idx="8">
                  <c:v>-10.899359608922277</c:v>
                </c:pt>
                <c:pt idx="9">
                  <c:v>-9.1308604638334163</c:v>
                </c:pt>
                <c:pt idx="10">
                  <c:v>-7.5871133701656177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06-4CB5-861C-3AB9668C7FE1}"/>
            </c:ext>
          </c:extLst>
        </c:ser>
        <c:ser>
          <c:idx val="4"/>
          <c:order val="4"/>
          <c:tx>
            <c:strRef>
              <c:f>'Implied Vol &amp; Greeks'!$F$67</c:f>
              <c:strCache>
                <c:ptCount val="1"/>
                <c:pt idx="0">
                  <c:v>0.293650794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'Implied Vol &amp; Greeks'!$A$68:$A$78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Greeks'!$F$68:$F$78</c:f>
              <c:numCache>
                <c:formatCode>General</c:formatCode>
                <c:ptCount val="11"/>
                <c:pt idx="0">
                  <c:v>-6.9352071469979215</c:v>
                </c:pt>
                <c:pt idx="1">
                  <c:v>-11.47679578920337</c:v>
                </c:pt>
                <c:pt idx="2">
                  <c:v>-13.062590636477594</c:v>
                </c:pt>
                <c:pt idx="3">
                  <c:v>-14.200200782856102</c:v>
                </c:pt>
                <c:pt idx="4">
                  <c:v>-14.427792367025322</c:v>
                </c:pt>
                <c:pt idx="5">
                  <c:v>-14.163302547523026</c:v>
                </c:pt>
                <c:pt idx="6">
                  <c:v>-13.088076462238996</c:v>
                </c:pt>
                <c:pt idx="7">
                  <c:v>-11.727012087426335</c:v>
                </c:pt>
                <c:pt idx="8">
                  <c:v>-9.8022536958992816</c:v>
                </c:pt>
                <c:pt idx="9">
                  <c:v>-8.9132271568252541</c:v>
                </c:pt>
                <c:pt idx="10">
                  <c:v>-6.9904081126178603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06-4CB5-861C-3AB9668C7FE1}"/>
            </c:ext>
          </c:extLst>
        </c:ser>
        <c:ser>
          <c:idx val="5"/>
          <c:order val="5"/>
          <c:tx>
            <c:strRef>
              <c:f>'Implied Vol &amp; Greeks'!$G$67</c:f>
              <c:strCache>
                <c:ptCount val="1"/>
                <c:pt idx="0">
                  <c:v>0.829365079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'Implied Vol &amp; Greeks'!$A$68:$A$78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Greeks'!$G$68:$G$78</c:f>
              <c:numCache>
                <c:formatCode>General</c:formatCode>
                <c:ptCount val="11"/>
                <c:pt idx="0">
                  <c:v>-6.4041137127975603</c:v>
                </c:pt>
                <c:pt idx="1">
                  <c:v>-7.9245361340038576</c:v>
                </c:pt>
                <c:pt idx="2">
                  <c:v>-8.3422194597975423</c:v>
                </c:pt>
                <c:pt idx="3">
                  <c:v>-8.6557904366419756</c:v>
                </c:pt>
                <c:pt idx="4">
                  <c:v>-8.824725239968215</c:v>
                </c:pt>
                <c:pt idx="5">
                  <c:v>-8.7712989129864827</c:v>
                </c:pt>
                <c:pt idx="6">
                  <c:v>-8.6040655970627196</c:v>
                </c:pt>
                <c:pt idx="7">
                  <c:v>-8.3009135194022647</c:v>
                </c:pt>
                <c:pt idx="8">
                  <c:v>-7.9551359539281119</c:v>
                </c:pt>
                <c:pt idx="9">
                  <c:v>-7.5931798412508602</c:v>
                </c:pt>
                <c:pt idx="10">
                  <c:v>-7.1354781224329162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06-4CB5-861C-3AB9668C7FE1}"/>
            </c:ext>
          </c:extLst>
        </c:ser>
        <c:ser>
          <c:idx val="6"/>
          <c:order val="6"/>
          <c:tx>
            <c:strRef>
              <c:f>'Implied Vol &amp; Greeks'!$H$67</c:f>
              <c:strCache>
                <c:ptCount val="1"/>
                <c:pt idx="0">
                  <c:v>1.861111111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'Implied Vol &amp; Greeks'!$A$68:$A$78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Greeks'!$H$68:$H$78</c:f>
              <c:numCache>
                <c:formatCode>General</c:formatCode>
                <c:ptCount val="11"/>
                <c:pt idx="0">
                  <c:v>-5.0193341310596153</c:v>
                </c:pt>
                <c:pt idx="1">
                  <c:v>-5.7797045555208371</c:v>
                </c:pt>
                <c:pt idx="2">
                  <c:v>-5.995291462507832</c:v>
                </c:pt>
                <c:pt idx="3">
                  <c:v>-6.1696925703120034</c:v>
                </c:pt>
                <c:pt idx="4">
                  <c:v>-6.2930888295639917</c:v>
                </c:pt>
                <c:pt idx="5">
                  <c:v>-6.3703208595024829</c:v>
                </c:pt>
                <c:pt idx="6">
                  <c:v>-6.0326116698271699</c:v>
                </c:pt>
                <c:pt idx="7">
                  <c:v>-6.4618810169769674</c:v>
                </c:pt>
                <c:pt idx="8">
                  <c:v>-6.3196223032183401</c:v>
                </c:pt>
                <c:pt idx="9">
                  <c:v>-6.236108774347521</c:v>
                </c:pt>
                <c:pt idx="10">
                  <c:v>-6.1315589618175501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06-4CB5-861C-3AB9668C7FE1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902007072"/>
        <c:axId val="902013304"/>
        <c:axId val="633981720"/>
      </c:surface3DChart>
      <c:catAx>
        <c:axId val="90200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013304"/>
        <c:crosses val="autoZero"/>
        <c:auto val="1"/>
        <c:lblAlgn val="ctr"/>
        <c:lblOffset val="100"/>
        <c:noMultiLvlLbl val="0"/>
      </c:catAx>
      <c:valAx>
        <c:axId val="90201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007072"/>
        <c:crosses val="autoZero"/>
        <c:crossBetween val="midCat"/>
      </c:valAx>
      <c:serAx>
        <c:axId val="6339817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0133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'Implied Vol &amp; Greeks'!$B$82</c:f>
              <c:strCache>
                <c:ptCount val="1"/>
                <c:pt idx="0">
                  <c:v>0.015873016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'Implied Vol &amp; Greeks'!$A$83:$A$93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Greeks'!$B$83:$B$93</c:f>
              <c:numCache>
                <c:formatCode>General</c:formatCode>
                <c:ptCount val="11"/>
                <c:pt idx="0">
                  <c:v>2.6524408245065811</c:v>
                </c:pt>
                <c:pt idx="1">
                  <c:v>0.91858837276728711</c:v>
                </c:pt>
                <c:pt idx="2">
                  <c:v>1.0283457571751573</c:v>
                </c:pt>
                <c:pt idx="3">
                  <c:v>2.6353661584461676</c:v>
                </c:pt>
                <c:pt idx="4">
                  <c:v>4.1416618228448927</c:v>
                </c:pt>
                <c:pt idx="5">
                  <c:v>2.5129794808703081</c:v>
                </c:pt>
                <c:pt idx="6">
                  <c:v>1.6258338803963859</c:v>
                </c:pt>
                <c:pt idx="7">
                  <c:v>1.192265754852383</c:v>
                </c:pt>
                <c:pt idx="8">
                  <c:v>1.0969646023688466</c:v>
                </c:pt>
                <c:pt idx="9">
                  <c:v>1.0873340612885278</c:v>
                </c:pt>
                <c:pt idx="10">
                  <c:v>1.6366694347723698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7E-474D-9870-4D4ADC130F97}"/>
            </c:ext>
          </c:extLst>
        </c:ser>
        <c:ser>
          <c:idx val="1"/>
          <c:order val="1"/>
          <c:tx>
            <c:strRef>
              <c:f>'Implied Vol &amp; Greeks'!$C$82</c:f>
              <c:strCache>
                <c:ptCount val="1"/>
                <c:pt idx="0">
                  <c:v>0.031746032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'Implied Vol &amp; Greeks'!$A$83:$A$93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Greeks'!$C$83:$C$93</c:f>
              <c:numCache>
                <c:formatCode>General</c:formatCode>
                <c:ptCount val="11"/>
                <c:pt idx="0">
                  <c:v>0.64015302329990165</c:v>
                </c:pt>
                <c:pt idx="1">
                  <c:v>0.90674847986110452</c:v>
                </c:pt>
                <c:pt idx="2">
                  <c:v>2.1099785500104788</c:v>
                </c:pt>
                <c:pt idx="3">
                  <c:v>4.6763483711792384</c:v>
                </c:pt>
                <c:pt idx="4">
                  <c:v>5.9215998634611564</c:v>
                </c:pt>
                <c:pt idx="5">
                  <c:v>4.2904829055809346</c:v>
                </c:pt>
                <c:pt idx="6">
                  <c:v>2.8001287786888049</c:v>
                </c:pt>
                <c:pt idx="7">
                  <c:v>1.904125504793913</c:v>
                </c:pt>
                <c:pt idx="8">
                  <c:v>1.647881119128505</c:v>
                </c:pt>
                <c:pt idx="9">
                  <c:v>0.92505651846219961</c:v>
                </c:pt>
                <c:pt idx="10">
                  <c:v>0.87975521979765436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7E-474D-9870-4D4ADC130F97}"/>
            </c:ext>
          </c:extLst>
        </c:ser>
        <c:ser>
          <c:idx val="2"/>
          <c:order val="2"/>
          <c:tx>
            <c:strRef>
              <c:f>'Implied Vol &amp; Greeks'!$D$82</c:f>
              <c:strCache>
                <c:ptCount val="1"/>
                <c:pt idx="0">
                  <c:v>0.134920635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'Implied Vol &amp; Greeks'!$A$83:$A$93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Greeks'!$D$83:$D$93</c:f>
              <c:numCache>
                <c:formatCode>General</c:formatCode>
                <c:ptCount val="11"/>
                <c:pt idx="0">
                  <c:v>2.9652961721286886</c:v>
                </c:pt>
                <c:pt idx="1">
                  <c:v>6.9464933930485406</c:v>
                </c:pt>
                <c:pt idx="2">
                  <c:v>9.5671493814708839</c:v>
                </c:pt>
                <c:pt idx="3">
                  <c:v>11.511888141465045</c:v>
                </c:pt>
                <c:pt idx="4">
                  <c:v>12.299062297038279</c:v>
                </c:pt>
                <c:pt idx="5">
                  <c:v>11.764771480862313</c:v>
                </c:pt>
                <c:pt idx="6">
                  <c:v>10.293508041593066</c:v>
                </c:pt>
                <c:pt idx="7">
                  <c:v>8.4836671925234235</c:v>
                </c:pt>
                <c:pt idx="8">
                  <c:v>6.6188341971638511</c:v>
                </c:pt>
                <c:pt idx="9">
                  <c:v>5.1452733185570869</c:v>
                </c:pt>
                <c:pt idx="10">
                  <c:v>3.8541277636941174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7E-474D-9870-4D4ADC130F97}"/>
            </c:ext>
          </c:extLst>
        </c:ser>
        <c:ser>
          <c:idx val="3"/>
          <c:order val="3"/>
          <c:tx>
            <c:strRef>
              <c:f>'Implied Vol &amp; Greeks'!$E$82</c:f>
              <c:strCache>
                <c:ptCount val="1"/>
                <c:pt idx="0">
                  <c:v>0.214285714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'Implied Vol &amp; Greeks'!$A$83:$A$93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Greeks'!$E$83:$E$93</c:f>
              <c:numCache>
                <c:formatCode>General</c:formatCode>
                <c:ptCount val="11"/>
                <c:pt idx="0">
                  <c:v>4.9764721355202663</c:v>
                </c:pt>
                <c:pt idx="1">
                  <c:v>10.194496623108886</c:v>
                </c:pt>
                <c:pt idx="2">
                  <c:v>12.715397544386777</c:v>
                </c:pt>
                <c:pt idx="3">
                  <c:v>14.630124624545234</c:v>
                </c:pt>
                <c:pt idx="4">
                  <c:v>15.479664069837655</c:v>
                </c:pt>
                <c:pt idx="5">
                  <c:v>15.147834235816417</c:v>
                </c:pt>
                <c:pt idx="6">
                  <c:v>13.839944055069846</c:v>
                </c:pt>
                <c:pt idx="7">
                  <c:v>11.981618021650128</c:v>
                </c:pt>
                <c:pt idx="8">
                  <c:v>10.030235863198131</c:v>
                </c:pt>
                <c:pt idx="9">
                  <c:v>8.243318069828975</c:v>
                </c:pt>
                <c:pt idx="10">
                  <c:v>6.7066592687395232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7E-474D-9870-4D4ADC130F97}"/>
            </c:ext>
          </c:extLst>
        </c:ser>
        <c:ser>
          <c:idx val="4"/>
          <c:order val="4"/>
          <c:tx>
            <c:strRef>
              <c:f>'Implied Vol &amp; Greeks'!$F$82</c:f>
              <c:strCache>
                <c:ptCount val="1"/>
                <c:pt idx="0">
                  <c:v>0.293650794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'Implied Vol &amp; Greeks'!$A$83:$A$93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Greeks'!$F$83:$F$93</c:f>
              <c:numCache>
                <c:formatCode>General</c:formatCode>
                <c:ptCount val="11"/>
                <c:pt idx="0">
                  <c:v>7.1513927354920064</c:v>
                </c:pt>
                <c:pt idx="1">
                  <c:v>12.867061270776734</c:v>
                </c:pt>
                <c:pt idx="2">
                  <c:v>15.323157084764276</c:v>
                </c:pt>
                <c:pt idx="3">
                  <c:v>17.168990559769377</c:v>
                </c:pt>
                <c:pt idx="4">
                  <c:v>18.079669745502756</c:v>
                </c:pt>
                <c:pt idx="5">
                  <c:v>17.955607063243644</c:v>
                </c:pt>
                <c:pt idx="6">
                  <c:v>16.898619947527258</c:v>
                </c:pt>
                <c:pt idx="7">
                  <c:v>15.219095290954661</c:v>
                </c:pt>
                <c:pt idx="8">
                  <c:v>12.996362177220469</c:v>
                </c:pt>
                <c:pt idx="9">
                  <c:v>11.381371104514905</c:v>
                </c:pt>
                <c:pt idx="10">
                  <c:v>9.1081993165826756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7E-474D-9870-4D4ADC130F97}"/>
            </c:ext>
          </c:extLst>
        </c:ser>
        <c:ser>
          <c:idx val="5"/>
          <c:order val="5"/>
          <c:tx>
            <c:strRef>
              <c:f>'Implied Vol &amp; Greeks'!$G$82</c:f>
              <c:strCache>
                <c:ptCount val="1"/>
                <c:pt idx="0">
                  <c:v>0.829365079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'Implied Vol &amp; Greeks'!$A$83:$A$93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Greeks'!$G$83:$G$93</c:f>
              <c:numCache>
                <c:formatCode>General</c:formatCode>
                <c:ptCount val="11"/>
                <c:pt idx="0">
                  <c:v>18.659386979068387</c:v>
                </c:pt>
                <c:pt idx="1">
                  <c:v>24.483629226584942</c:v>
                </c:pt>
                <c:pt idx="2">
                  <c:v>26.777679078288045</c:v>
                </c:pt>
                <c:pt idx="3">
                  <c:v>28.593049810208711</c:v>
                </c:pt>
                <c:pt idx="4">
                  <c:v>29.81942516759198</c:v>
                </c:pt>
                <c:pt idx="5">
                  <c:v>30.432582185099307</c:v>
                </c:pt>
                <c:pt idx="6">
                  <c:v>30.426871795536268</c:v>
                </c:pt>
                <c:pt idx="7">
                  <c:v>29.859256185214086</c:v>
                </c:pt>
                <c:pt idx="8">
                  <c:v>28.857329035862989</c:v>
                </c:pt>
                <c:pt idx="9">
                  <c:v>27.57765488264597</c:v>
                </c:pt>
                <c:pt idx="10">
                  <c:v>26.032141406605469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7E-474D-9870-4D4ADC130F97}"/>
            </c:ext>
          </c:extLst>
        </c:ser>
        <c:ser>
          <c:idx val="6"/>
          <c:order val="6"/>
          <c:tx>
            <c:strRef>
              <c:f>'Implied Vol &amp; Greeks'!$H$82</c:f>
              <c:strCache>
                <c:ptCount val="1"/>
                <c:pt idx="0">
                  <c:v>1.861111111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'Implied Vol &amp; Greeks'!$A$83:$A$93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Greeks'!$H$83:$H$93</c:f>
              <c:numCache>
                <c:formatCode>General</c:formatCode>
                <c:ptCount val="11"/>
                <c:pt idx="0">
                  <c:v>30.388101676150754</c:v>
                </c:pt>
                <c:pt idx="1">
                  <c:v>36.261004966339435</c:v>
                </c:pt>
                <c:pt idx="2">
                  <c:v>38.677940243246134</c:v>
                </c:pt>
                <c:pt idx="3">
                  <c:v>40.755457548726199</c:v>
                </c:pt>
                <c:pt idx="4">
                  <c:v>42.470615170568657</c:v>
                </c:pt>
                <c:pt idx="5">
                  <c:v>43.810339545248361</c:v>
                </c:pt>
                <c:pt idx="6">
                  <c:v>45.051206971552823</c:v>
                </c:pt>
                <c:pt idx="7">
                  <c:v>45.355135051170457</c:v>
                </c:pt>
                <c:pt idx="8">
                  <c:v>45.674726036414555</c:v>
                </c:pt>
                <c:pt idx="9">
                  <c:v>45.636587666149858</c:v>
                </c:pt>
                <c:pt idx="10">
                  <c:v>45.326848472582107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7E-474D-9870-4D4ADC130F97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01242776"/>
        <c:axId val="401243104"/>
        <c:axId val="927157096"/>
      </c:surface3DChart>
      <c:catAx>
        <c:axId val="401242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43104"/>
        <c:crosses val="autoZero"/>
        <c:auto val="1"/>
        <c:lblAlgn val="ctr"/>
        <c:lblOffset val="100"/>
        <c:noMultiLvlLbl val="0"/>
      </c:catAx>
      <c:valAx>
        <c:axId val="4012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42776"/>
        <c:crosses val="autoZero"/>
        <c:crossBetween val="midCat"/>
      </c:valAx>
      <c:serAx>
        <c:axId val="9271570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431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'Implied Vol &amp; Greeks'!$B$52</c:f>
              <c:strCache>
                <c:ptCount val="1"/>
                <c:pt idx="0">
                  <c:v>0.015873016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'Implied Vol &amp; Greeks'!$A$53:$A$63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Greeks'!$B$53:$B$63</c:f>
              <c:numCache>
                <c:formatCode>General</c:formatCode>
                <c:ptCount val="11"/>
                <c:pt idx="0">
                  <c:v>0.66056758413754479</c:v>
                </c:pt>
                <c:pt idx="1">
                  <c:v>1.0546918019596503</c:v>
                </c:pt>
                <c:pt idx="2">
                  <c:v>1.1266047265672856</c:v>
                </c:pt>
                <c:pt idx="3">
                  <c:v>1.0423435336212974</c:v>
                </c:pt>
                <c:pt idx="4">
                  <c:v>0.54208701421936356</c:v>
                </c:pt>
                <c:pt idx="5">
                  <c:v>0.19875666092865846</c:v>
                </c:pt>
                <c:pt idx="6">
                  <c:v>0.1071695978934047</c:v>
                </c:pt>
                <c:pt idx="7">
                  <c:v>7.1287413761772653E-2</c:v>
                </c:pt>
                <c:pt idx="8">
                  <c:v>6.359289766514685E-2</c:v>
                </c:pt>
                <c:pt idx="9">
                  <c:v>6.2261212181016198E-2</c:v>
                </c:pt>
                <c:pt idx="10">
                  <c:v>0.10237203933845428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6-42A9-AD20-EBBC45028839}"/>
            </c:ext>
          </c:extLst>
        </c:ser>
        <c:ser>
          <c:idx val="1"/>
          <c:order val="1"/>
          <c:tx>
            <c:strRef>
              <c:f>'Implied Vol &amp; Greeks'!$C$52</c:f>
              <c:strCache>
                <c:ptCount val="1"/>
                <c:pt idx="0">
                  <c:v>0.031746032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'Implied Vol &amp; Greeks'!$A$53:$A$63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Greeks'!$C$53:$C$63</c:f>
              <c:numCache>
                <c:formatCode>General</c:formatCode>
                <c:ptCount val="11"/>
                <c:pt idx="0">
                  <c:v>1.8551587443624948</c:v>
                </c:pt>
                <c:pt idx="1">
                  <c:v>2.1493138754993213</c:v>
                </c:pt>
                <c:pt idx="2">
                  <c:v>2.1738386232299272</c:v>
                </c:pt>
                <c:pt idx="3">
                  <c:v>1.8635400398502171</c:v>
                </c:pt>
                <c:pt idx="4">
                  <c:v>1.1360049132028236</c:v>
                </c:pt>
                <c:pt idx="5">
                  <c:v>0.53067864980557478</c:v>
                </c:pt>
                <c:pt idx="6">
                  <c:v>0.27832688740255701</c:v>
                </c:pt>
                <c:pt idx="7">
                  <c:v>0.1659966025471549</c:v>
                </c:pt>
                <c:pt idx="8">
                  <c:v>0.13699132493493454</c:v>
                </c:pt>
                <c:pt idx="9">
                  <c:v>6.7777839105203838E-2</c:v>
                </c:pt>
                <c:pt idx="10">
                  <c:v>6.3405942559243228E-2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46-42A9-AD20-EBBC45028839}"/>
            </c:ext>
          </c:extLst>
        </c:ser>
        <c:ser>
          <c:idx val="2"/>
          <c:order val="2"/>
          <c:tx>
            <c:strRef>
              <c:f>'Implied Vol &amp; Greeks'!$D$52</c:f>
              <c:strCache>
                <c:ptCount val="1"/>
                <c:pt idx="0">
                  <c:v>0.134920635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'Implied Vol &amp; Greeks'!$A$53:$A$63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Greeks'!$D$53:$D$63</c:f>
              <c:numCache>
                <c:formatCode>General</c:formatCode>
                <c:ptCount val="11"/>
                <c:pt idx="0">
                  <c:v>7.5163155420654055</c:v>
                </c:pt>
                <c:pt idx="1">
                  <c:v>7.6491939492782235</c:v>
                </c:pt>
                <c:pt idx="2">
                  <c:v>7.0733750680024219</c:v>
                </c:pt>
                <c:pt idx="3">
                  <c:v>6.1754757638289579</c:v>
                </c:pt>
                <c:pt idx="4">
                  <c:v>5.0406246068279206</c:v>
                </c:pt>
                <c:pt idx="5">
                  <c:v>3.8479997643564312</c:v>
                </c:pt>
                <c:pt idx="6">
                  <c:v>2.8041888484434416</c:v>
                </c:pt>
                <c:pt idx="7">
                  <c:v>1.9966435755642418</c:v>
                </c:pt>
                <c:pt idx="8">
                  <c:v>1.3746632528464691</c:v>
                </c:pt>
                <c:pt idx="9">
                  <c:v>0.9704364952058957</c:v>
                </c:pt>
                <c:pt idx="10">
                  <c:v>0.66617865426201694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46-42A9-AD20-EBBC45028839}"/>
            </c:ext>
          </c:extLst>
        </c:ser>
        <c:ser>
          <c:idx val="3"/>
          <c:order val="3"/>
          <c:tx>
            <c:strRef>
              <c:f>'Implied Vol &amp; Greeks'!$E$52</c:f>
              <c:strCache>
                <c:ptCount val="1"/>
                <c:pt idx="0">
                  <c:v>0.214285714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'Implied Vol &amp; Greeks'!$A$53:$A$63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Greeks'!$E$53:$E$63</c:f>
              <c:numCache>
                <c:formatCode>General</c:formatCode>
                <c:ptCount val="11"/>
                <c:pt idx="0">
                  <c:v>11.506368446740483</c:v>
                </c:pt>
                <c:pt idx="1">
                  <c:v>11.281632771715572</c:v>
                </c:pt>
                <c:pt idx="2">
                  <c:v>10.561378925931143</c:v>
                </c:pt>
                <c:pt idx="3">
                  <c:v>9.3975761583288975</c:v>
                </c:pt>
                <c:pt idx="4">
                  <c:v>7.975326317069829</c:v>
                </c:pt>
                <c:pt idx="5">
                  <c:v>6.4489223205711337</c:v>
                </c:pt>
                <c:pt idx="6">
                  <c:v>5.0068251918608491</c:v>
                </c:pt>
                <c:pt idx="7">
                  <c:v>3.7788932693900419</c:v>
                </c:pt>
                <c:pt idx="8">
                  <c:v>2.8249756502898031</c:v>
                </c:pt>
                <c:pt idx="9">
                  <c:v>2.1141155606420239</c:v>
                </c:pt>
                <c:pt idx="10">
                  <c:v>1.5895589105321364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46-42A9-AD20-EBBC45028839}"/>
            </c:ext>
          </c:extLst>
        </c:ser>
        <c:ser>
          <c:idx val="4"/>
          <c:order val="4"/>
          <c:tx>
            <c:strRef>
              <c:f>'Implied Vol &amp; Greeks'!$F$52</c:f>
              <c:strCache>
                <c:ptCount val="1"/>
                <c:pt idx="0">
                  <c:v>0.293650794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'Implied Vol &amp; Greeks'!$A$53:$A$63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Greeks'!$F$53:$F$63</c:f>
              <c:numCache>
                <c:formatCode>General</c:formatCode>
                <c:ptCount val="11"/>
                <c:pt idx="0">
                  <c:v>15.119824820397495</c:v>
                </c:pt>
                <c:pt idx="1">
                  <c:v>14.599448477257191</c:v>
                </c:pt>
                <c:pt idx="2">
                  <c:v>13.754171187168156</c:v>
                </c:pt>
                <c:pt idx="3">
                  <c:v>12.454597744805666</c:v>
                </c:pt>
                <c:pt idx="4">
                  <c:v>10.885599086845088</c:v>
                </c:pt>
                <c:pt idx="5">
                  <c:v>9.1618598168737435</c:v>
                </c:pt>
                <c:pt idx="6">
                  <c:v>7.4536990231438756</c:v>
                </c:pt>
                <c:pt idx="7">
                  <c:v>5.9199513237011239</c:v>
                </c:pt>
                <c:pt idx="8">
                  <c:v>4.4938799636496674</c:v>
                </c:pt>
                <c:pt idx="9">
                  <c:v>3.635778735488739</c:v>
                </c:pt>
                <c:pt idx="10">
                  <c:v>2.6449198504266591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46-42A9-AD20-EBBC45028839}"/>
            </c:ext>
          </c:extLst>
        </c:ser>
        <c:ser>
          <c:idx val="5"/>
          <c:order val="5"/>
          <c:tx>
            <c:strRef>
              <c:f>'Implied Vol &amp; Greeks'!$G$52</c:f>
              <c:strCache>
                <c:ptCount val="1"/>
                <c:pt idx="0">
                  <c:v>0.829365079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'Implied Vol &amp; Greeks'!$A$53:$A$63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Greeks'!$G$53:$G$63</c:f>
              <c:numCache>
                <c:formatCode>General</c:formatCode>
                <c:ptCount val="11"/>
                <c:pt idx="0">
                  <c:v>34.453648028513392</c:v>
                </c:pt>
                <c:pt idx="1">
                  <c:v>33.538159174353893</c:v>
                </c:pt>
                <c:pt idx="2">
                  <c:v>32.569435350630435</c:v>
                </c:pt>
                <c:pt idx="3">
                  <c:v>31.050164117910455</c:v>
                </c:pt>
                <c:pt idx="4">
                  <c:v>29.151968828710501</c:v>
                </c:pt>
                <c:pt idx="5">
                  <c:v>27.027330367611235</c:v>
                </c:pt>
                <c:pt idx="6">
                  <c:v>24.715951079351683</c:v>
                </c:pt>
                <c:pt idx="7">
                  <c:v>22.338806980076146</c:v>
                </c:pt>
                <c:pt idx="8">
                  <c:v>20.036383250332506</c:v>
                </c:pt>
                <c:pt idx="9">
                  <c:v>17.912501826391399</c:v>
                </c:pt>
                <c:pt idx="10">
                  <c:v>15.89512091946705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46-42A9-AD20-EBBC45028839}"/>
            </c:ext>
          </c:extLst>
        </c:ser>
        <c:ser>
          <c:idx val="6"/>
          <c:order val="6"/>
          <c:tx>
            <c:strRef>
              <c:f>'Implied Vol &amp; Greeks'!$H$52</c:f>
              <c:strCache>
                <c:ptCount val="1"/>
                <c:pt idx="0">
                  <c:v>1.861111111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'Implied Vol &amp; Greeks'!$A$53:$A$63</c:f>
              <c:strCache>
                <c:ptCount val="11"/>
                <c:pt idx="0">
                  <c:v>60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</c:strCache>
            </c:strRef>
          </c:cat>
          <c:val>
            <c:numRef>
              <c:f>'Implied Vol &amp; Greeks'!$H$53:$H$63</c:f>
              <c:numCache>
                <c:formatCode>General</c:formatCode>
                <c:ptCount val="11"/>
                <c:pt idx="0">
                  <c:v>62.082694604666322</c:v>
                </c:pt>
                <c:pt idx="1">
                  <c:v>61.696708620610458</c:v>
                </c:pt>
                <c:pt idx="2">
                  <c:v>61.416434933168397</c:v>
                </c:pt>
                <c:pt idx="3">
                  <c:v>60.581379414362338</c:v>
                </c:pt>
                <c:pt idx="4">
                  <c:v>59.336374873123589</c:v>
                </c:pt>
                <c:pt idx="5">
                  <c:v>57.7371405628801</c:v>
                </c:pt>
                <c:pt idx="6">
                  <c:v>56.732437984917283</c:v>
                </c:pt>
                <c:pt idx="7">
                  <c:v>53.68744195687367</c:v>
                </c:pt>
                <c:pt idx="8">
                  <c:v>51.56633602649908</c:v>
                </c:pt>
                <c:pt idx="9">
                  <c:v>49.217536087800056</c:v>
                </c:pt>
                <c:pt idx="10">
                  <c:v>46.825110047591018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46-42A9-AD20-EBBC45028839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67693000"/>
        <c:axId val="667692672"/>
        <c:axId val="672328400"/>
      </c:surface3DChart>
      <c:catAx>
        <c:axId val="667693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692672"/>
        <c:crosses val="autoZero"/>
        <c:auto val="1"/>
        <c:lblAlgn val="ctr"/>
        <c:lblOffset val="100"/>
        <c:noMultiLvlLbl val="0"/>
      </c:catAx>
      <c:valAx>
        <c:axId val="66769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693000"/>
        <c:crosses val="autoZero"/>
        <c:crossBetween val="midCat"/>
      </c:valAx>
      <c:serAx>
        <c:axId val="6723284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6926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Difference</a:t>
            </a:r>
            <a:r>
              <a:rPr lang="en-US" baseline="0"/>
              <a:t> between implied volatility ATM and historical volatility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'Part 3'!$M$19</c:f>
              <c:strCache>
                <c:ptCount val="1"/>
                <c:pt idx="0">
                  <c:v>vol_yearly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'Part 3'!$N$17:$T$17</c:f>
              <c:strCache>
                <c:ptCount val="7"/>
                <c:pt idx="0">
                  <c:v>4 days</c:v>
                </c:pt>
                <c:pt idx="1">
                  <c:v>8  days</c:v>
                </c:pt>
                <c:pt idx="2">
                  <c:v>34  days</c:v>
                </c:pt>
                <c:pt idx="3">
                  <c:v>54  days</c:v>
                </c:pt>
                <c:pt idx="4">
                  <c:v>119  days</c:v>
                </c:pt>
                <c:pt idx="5">
                  <c:v>209  days</c:v>
                </c:pt>
                <c:pt idx="6">
                  <c:v>469  days</c:v>
                </c:pt>
              </c:strCache>
            </c:strRef>
          </c:cat>
          <c:val>
            <c:numRef>
              <c:f>'Part 3'!$N$19:$T$19</c:f>
              <c:numCache>
                <c:formatCode>General</c:formatCode>
                <c:ptCount val="7"/>
                <c:pt idx="0">
                  <c:v>0.30363457050180787</c:v>
                </c:pt>
                <c:pt idx="1">
                  <c:v>0.36733155423450392</c:v>
                </c:pt>
                <c:pt idx="2">
                  <c:v>0.56310696315886222</c:v>
                </c:pt>
                <c:pt idx="3">
                  <c:v>0.56023944493589761</c:v>
                </c:pt>
                <c:pt idx="4">
                  <c:v>0.47526839355657463</c:v>
                </c:pt>
                <c:pt idx="5">
                  <c:v>0.43337899973994359</c:v>
                </c:pt>
                <c:pt idx="6">
                  <c:v>0.50216100811642994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A2-4A29-8BC9-36A6F1796AA5}"/>
            </c:ext>
          </c:extLst>
        </c:ser>
        <c:ser>
          <c:idx val="2"/>
          <c:order val="1"/>
          <c:tx>
            <c:strRef>
              <c:f>'Part 3'!$M$20</c:f>
              <c:strCache>
                <c:ptCount val="1"/>
                <c:pt idx="0">
                  <c:v>vol_imp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'Part 3'!$N$17:$T$17</c:f>
              <c:strCache>
                <c:ptCount val="7"/>
                <c:pt idx="0">
                  <c:v>4 days</c:v>
                </c:pt>
                <c:pt idx="1">
                  <c:v>8  days</c:v>
                </c:pt>
                <c:pt idx="2">
                  <c:v>34  days</c:v>
                </c:pt>
                <c:pt idx="3">
                  <c:v>54  days</c:v>
                </c:pt>
                <c:pt idx="4">
                  <c:v>119  days</c:v>
                </c:pt>
                <c:pt idx="5">
                  <c:v>209  days</c:v>
                </c:pt>
                <c:pt idx="6">
                  <c:v>469  days</c:v>
                </c:pt>
              </c:strCache>
            </c:strRef>
          </c:cat>
          <c:val>
            <c:numRef>
              <c:f>'Part 3'!$N$20:$T$20</c:f>
              <c:numCache>
                <c:formatCode>General</c:formatCode>
                <c:ptCount val="7"/>
                <c:pt idx="0">
                  <c:v>0.42680000000000001</c:v>
                </c:pt>
                <c:pt idx="1">
                  <c:v>0.41360000000000002</c:v>
                </c:pt>
                <c:pt idx="2">
                  <c:v>0.48580000000000001</c:v>
                </c:pt>
                <c:pt idx="3">
                  <c:v>0.45900000000000002</c:v>
                </c:pt>
                <c:pt idx="4">
                  <c:v>0.46</c:v>
                </c:pt>
                <c:pt idx="5">
                  <c:v>0.4602</c:v>
                </c:pt>
                <c:pt idx="6">
                  <c:v>0.4803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A2-4A29-8BC9-36A6F1796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2393800"/>
        <c:axId val="632398392"/>
      </c:lineChart>
      <c:catAx>
        <c:axId val="632393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98392"/>
        <c:crosses val="autoZero"/>
        <c:auto val="1"/>
        <c:lblAlgn val="ctr"/>
        <c:lblOffset val="100"/>
        <c:noMultiLvlLbl val="0"/>
      </c:catAx>
      <c:valAx>
        <c:axId val="63239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93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Difference between market</a:t>
            </a:r>
            <a:r>
              <a:rPr lang="en-US" baseline="0"/>
              <a:t> quotes and B-S pricing formula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 3'!$C$24</c:f>
              <c:strCache>
                <c:ptCount val="1"/>
                <c:pt idx="0">
                  <c:v>Quoted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'Part 3'!$B$25:$B$31</c:f>
              <c:numCache>
                <c:formatCode>m/d/yyyy</c:formatCode>
                <c:ptCount val="7"/>
                <c:pt idx="0">
                  <c:v>44659</c:v>
                </c:pt>
                <c:pt idx="1">
                  <c:v>44665</c:v>
                </c:pt>
                <c:pt idx="2">
                  <c:v>44701</c:v>
                </c:pt>
                <c:pt idx="3">
                  <c:v>44729</c:v>
                </c:pt>
                <c:pt idx="4">
                  <c:v>44820</c:v>
                </c:pt>
                <c:pt idx="5">
                  <c:v>44946</c:v>
                </c:pt>
                <c:pt idx="6">
                  <c:v>45310</c:v>
                </c:pt>
              </c:numCache>
            </c:numRef>
          </c:cat>
          <c:val>
            <c:numRef>
              <c:f>'Part 3'!$C$25:$C$31</c:f>
              <c:numCache>
                <c:formatCode>General</c:formatCode>
                <c:ptCount val="7"/>
                <c:pt idx="0">
                  <c:v>0.38</c:v>
                </c:pt>
                <c:pt idx="1">
                  <c:v>0.83</c:v>
                </c:pt>
                <c:pt idx="2">
                  <c:v>4.6500000000000004</c:v>
                </c:pt>
                <c:pt idx="3">
                  <c:v>5.95</c:v>
                </c:pt>
                <c:pt idx="4">
                  <c:v>9</c:v>
                </c:pt>
                <c:pt idx="5">
                  <c:v>13</c:v>
                </c:pt>
                <c:pt idx="6">
                  <c:v>19.5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98-49A6-A76E-2A1C6CC7F34B}"/>
            </c:ext>
          </c:extLst>
        </c:ser>
        <c:ser>
          <c:idx val="1"/>
          <c:order val="1"/>
          <c:tx>
            <c:strRef>
              <c:f>'Part 3'!$D$24</c:f>
              <c:strCache>
                <c:ptCount val="1"/>
                <c:pt idx="0">
                  <c:v>Black-Scholes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'Part 3'!$B$25:$B$31</c:f>
              <c:numCache>
                <c:formatCode>m/d/yyyy</c:formatCode>
                <c:ptCount val="7"/>
                <c:pt idx="0">
                  <c:v>44659</c:v>
                </c:pt>
                <c:pt idx="1">
                  <c:v>44665</c:v>
                </c:pt>
                <c:pt idx="2">
                  <c:v>44701</c:v>
                </c:pt>
                <c:pt idx="3">
                  <c:v>44729</c:v>
                </c:pt>
                <c:pt idx="4">
                  <c:v>44820</c:v>
                </c:pt>
                <c:pt idx="5">
                  <c:v>44946</c:v>
                </c:pt>
                <c:pt idx="6">
                  <c:v>45310</c:v>
                </c:pt>
              </c:numCache>
            </c:numRef>
          </c:cat>
          <c:val>
            <c:numRef>
              <c:f>'Part 3'!$D$25:$D$31</c:f>
              <c:numCache>
                <c:formatCode>General</c:formatCode>
                <c:ptCount val="7"/>
                <c:pt idx="0">
                  <c:v>1.2679229661969558</c:v>
                </c:pt>
                <c:pt idx="1">
                  <c:v>2.1848506714756439</c:v>
                </c:pt>
                <c:pt idx="2">
                  <c:v>7.6629945909408264</c:v>
                </c:pt>
                <c:pt idx="3">
                  <c:v>9.4189266369425582</c:v>
                </c:pt>
                <c:pt idx="4">
                  <c:v>11.786269264273294</c:v>
                </c:pt>
                <c:pt idx="5">
                  <c:v>14.288475786382243</c:v>
                </c:pt>
                <c:pt idx="6">
                  <c:v>24.594211684460593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98-49A6-A76E-2A1C6CC7F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7473168"/>
        <c:axId val="807473496"/>
      </c:lineChart>
      <c:catAx>
        <c:axId val="807473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73496"/>
        <c:crosses val="autoZero"/>
        <c:auto val="0"/>
        <c:lblAlgn val="ctr"/>
        <c:lblOffset val="100"/>
        <c:noMultiLvlLbl val="0"/>
      </c:catAx>
      <c:valAx>
        <c:axId val="80747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73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136071</xdr:colOff>
      <xdr:row>0</xdr:row>
      <xdr:rowOff>0</xdr:rowOff>
    </xdr:from>
    <xdr:to>
      <xdr:col>15</xdr:col>
      <xdr:colOff>68036</xdr:colOff>
      <xdr:row>15</xdr:row>
      <xdr:rowOff>54429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1716C7A-8E93-4597-A5C7-5CCC48C8F0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408218</xdr:colOff>
      <xdr:row>19</xdr:row>
      <xdr:rowOff>68033</xdr:rowOff>
    </xdr:from>
    <xdr:to>
      <xdr:col>15</xdr:col>
      <xdr:colOff>54430</xdr:colOff>
      <xdr:row>34</xdr:row>
      <xdr:rowOff>122462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DFE368-E7C3-4482-9452-F7521598B8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183694</xdr:colOff>
      <xdr:row>38</xdr:row>
      <xdr:rowOff>40820</xdr:rowOff>
    </xdr:from>
    <xdr:to>
      <xdr:col>14</xdr:col>
      <xdr:colOff>884464</xdr:colOff>
      <xdr:row>51</xdr:row>
      <xdr:rowOff>108857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FBB084-FCDA-408B-8541-90132DD985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251732</xdr:colOff>
      <xdr:row>67</xdr:row>
      <xdr:rowOff>122463</xdr:rowOff>
    </xdr:from>
    <xdr:to>
      <xdr:col>14</xdr:col>
      <xdr:colOff>27215</xdr:colOff>
      <xdr:row>82</xdr:row>
      <xdr:rowOff>81642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FAC30A2-02DB-4B91-ADEA-F8428C54F8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197304</xdr:colOff>
      <xdr:row>83</xdr:row>
      <xdr:rowOff>13607</xdr:rowOff>
    </xdr:from>
    <xdr:to>
      <xdr:col>14</xdr:col>
      <xdr:colOff>789215</xdr:colOff>
      <xdr:row>102</xdr:row>
      <xdr:rowOff>40820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7415F9-2C9F-4046-928B-C0C63659C4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197303</xdr:colOff>
      <xdr:row>52</xdr:row>
      <xdr:rowOff>125186</xdr:rowOff>
    </xdr:from>
    <xdr:to>
      <xdr:col>14</xdr:col>
      <xdr:colOff>176893</xdr:colOff>
      <xdr:row>66</xdr:row>
      <xdr:rowOff>95251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A87B020-16F2-46C6-9AAE-A0A277E250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13</xdr:row>
      <xdr:rowOff>0</xdr:rowOff>
    </xdr:from>
    <xdr:to>
      <xdr:col>18</xdr:col>
      <xdr:colOff>304800</xdr:colOff>
      <xdr:row>14</xdr:row>
      <xdr:rowOff>114300</xdr:rowOff>
    </xdr:to>
    <xdr:sp macro="" textlink="">
      <xdr:nvSpPr>
        <xdr:cNvPr id="2049" name="AutoShape 1">
          <a:extLst>
            <a:ext uri="{FF2B5EF4-FFF2-40B4-BE49-F238E27FC236}">
              <a16:creationId xmlns:a16="http://schemas.microsoft.com/office/drawing/2014/main" id="{B80C5589-66D3-41B5-8226-CDC0913AC62C}"/>
            </a:ext>
          </a:extLst>
        </xdr:cNvPr>
        <xdr:cNvSpPr>
          <a:spLocks noChangeAspect="1" noChangeArrowheads="1"/>
        </xdr:cNvSpPr>
      </xdr:nvSpPr>
      <xdr:spPr bwMode="auto">
        <a:xfrm>
          <a:off x="10467975" y="24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238125</xdr:colOff>
      <xdr:row>0</xdr:row>
      <xdr:rowOff>71437</xdr:rowOff>
    </xdr:from>
    <xdr:to>
      <xdr:col>18</xdr:col>
      <xdr:colOff>542925</xdr:colOff>
      <xdr:row>14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0C9B40B-721B-497B-8183-EBD34F5B3E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219075</xdr:colOff>
      <xdr:row>21</xdr:row>
      <xdr:rowOff>185736</xdr:rowOff>
    </xdr:from>
    <xdr:to>
      <xdr:col>15</xdr:col>
      <xdr:colOff>9525</xdr:colOff>
      <xdr:row>39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145FAE7-923A-4920-B38B-E8FDB61F65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" xr16:uid="{B8B7FFCA-4CFE-483B-A29E-DBEA5DC9EA1D}" autoFormatId="16" applyNumberFormats="0" applyBorderFormats="0" applyFontFormats="0" applyPatternFormats="0" applyAlignmentFormats="0" applyWidthHeightFormats="0">
  <queryTableRefresh nextId="9">
    <queryTableFields count="8">
      <queryTableField id="1" name="Strike" tableColumnId="1"/>
      <queryTableField id="2" name="Implied Volatility" tableColumnId="2"/>
      <queryTableField id="3" name="April 14, 2022.Implied Volatility" tableColumnId="3"/>
      <queryTableField id="4" name="May 20, 2022.Implied Volatility" tableColumnId="4"/>
      <queryTableField id="5" name="June 17, 2022.Implied Volatility" tableColumnId="5"/>
      <queryTableField id="6" name="Sep 16, 2022.Implied Volatility" tableColumnId="6"/>
      <queryTableField id="7" name="Jan 20, 2023.Implied Volatility" tableColumnId="7"/>
      <queryTableField id="8" name="Jan 19, 2024.Implied Volatility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" xr16:uid="{91F80FE2-8D71-4DD4-9895-F775405D1DAD}" autoFormatId="16" applyNumberFormats="0" applyBorderFormats="0" applyFontFormats="0" applyPatternFormats="0" applyAlignmentFormats="0" applyWidthHeightFormats="0">
  <queryTableRefresh nextId="12">
    <queryTableFields count="11">
      <queryTableField id="1" name="Contract Name" tableColumnId="1"/>
      <queryTableField id="2" name="Last Trade Date" tableColumnId="2"/>
      <queryTableField id="3" name="Strike" tableColumnId="3"/>
      <queryTableField id="4" name="Last Price" tableColumnId="4"/>
      <queryTableField id="5" name="Bid" tableColumnId="5"/>
      <queryTableField id="6" name="Ask" tableColumnId="6"/>
      <queryTableField id="7" name="Change" tableColumnId="7"/>
      <queryTableField id="8" name="% Change" tableColumnId="8"/>
      <queryTableField id="9" name="Volume" tableColumnId="9"/>
      <queryTableField id="10" name="Open Interest" tableColumnId="10"/>
      <queryTableField id="11" name="Implied Volatility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" xr16:uid="{C643D9C3-DCB6-4946-8484-D1E83E2A78CB}" autoFormatId="16" applyNumberFormats="0" applyBorderFormats="0" applyFontFormats="0" applyPatternFormats="0" applyAlignmentFormats="0" applyWidthHeightFormats="0">
  <queryTableRefresh nextId="12">
    <queryTableFields count="11">
      <queryTableField id="1" name="Contract Name" tableColumnId="1"/>
      <queryTableField id="2" name="Last Trade Date" tableColumnId="2"/>
      <queryTableField id="3" name="Strike" tableColumnId="3"/>
      <queryTableField id="4" name="Last Price" tableColumnId="4"/>
      <queryTableField id="5" name="Bid" tableColumnId="5"/>
      <queryTableField id="6" name="Ask" tableColumnId="6"/>
      <queryTableField id="7" name="Change" tableColumnId="7"/>
      <queryTableField id="8" name="% Change" tableColumnId="8"/>
      <queryTableField id="9" name="Volume" tableColumnId="9"/>
      <queryTableField id="10" name="Open Interest" tableColumnId="10"/>
      <queryTableField id="11" name="Implied Volatility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8" xr16:uid="{6B673543-90A0-43BE-8F08-ECD87D0A42CB}" autoFormatId="16" applyNumberFormats="0" applyBorderFormats="0" applyFontFormats="0" applyPatternFormats="0" applyAlignmentFormats="0" applyWidthHeightFormats="0">
  <queryTableRefresh nextId="12">
    <queryTableFields count="11">
      <queryTableField id="1" name="Contract Name" tableColumnId="1"/>
      <queryTableField id="2" name="Last Trade Date" tableColumnId="2"/>
      <queryTableField id="3" name="Strike" tableColumnId="3"/>
      <queryTableField id="4" name="Last Price" tableColumnId="4"/>
      <queryTableField id="5" name="Bid" tableColumnId="5"/>
      <queryTableField id="6" name="Ask" tableColumnId="6"/>
      <queryTableField id="7" name="Change" tableColumnId="7"/>
      <queryTableField id="8" name="% Change" tableColumnId="8"/>
      <queryTableField id="9" name="Volume" tableColumnId="9"/>
      <queryTableField id="10" name="Open Interest" tableColumnId="10"/>
      <queryTableField id="11" name="Implied Volatility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D8C61976-1480-4823-87ED-1F36E67637B0}" autoFormatId="16" applyNumberFormats="0" applyBorderFormats="0" applyFontFormats="0" applyPatternFormats="0" applyAlignmentFormats="0" applyWidthHeightFormats="0">
  <queryTableRefresh nextId="12">
    <queryTableFields count="11">
      <queryTableField id="1" name="Contract Name" tableColumnId="1"/>
      <queryTableField id="2" name="Last Trade Date" tableColumnId="2"/>
      <queryTableField id="3" name="Strike" tableColumnId="3"/>
      <queryTableField id="4" name="Last Price" tableColumnId="4"/>
      <queryTableField id="5" name="Bid" tableColumnId="5"/>
      <queryTableField id="6" name="Ask" tableColumnId="6"/>
      <queryTableField id="7" name="Change" tableColumnId="7"/>
      <queryTableField id="8" name="% Change" tableColumnId="8"/>
      <queryTableField id="9" name="Volume" tableColumnId="9"/>
      <queryTableField id="10" name="Open Interest" tableColumnId="10"/>
      <queryTableField id="11" name="Implied Volatility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4ECF248-D310-489C-B08D-EE833C4477AC}" autoFormatId="16" applyNumberFormats="0" applyBorderFormats="0" applyFontFormats="0" applyPatternFormats="0" applyAlignmentFormats="0" applyWidthHeightFormats="0">
  <queryTableRefresh nextId="12">
    <queryTableFields count="11">
      <queryTableField id="1" name="Contract Name" tableColumnId="1"/>
      <queryTableField id="2" name="Last Trade Date" tableColumnId="2"/>
      <queryTableField id="3" name="Strike" tableColumnId="3"/>
      <queryTableField id="4" name="Last Price" tableColumnId="4"/>
      <queryTableField id="5" name="Bid" tableColumnId="5"/>
      <queryTableField id="6" name="Ask" tableColumnId="6"/>
      <queryTableField id="7" name="Change" tableColumnId="7"/>
      <queryTableField id="8" name="% Change" tableColumnId="8"/>
      <queryTableField id="9" name="Volume" tableColumnId="9"/>
      <queryTableField id="10" name="Open Interest" tableColumnId="10"/>
      <queryTableField id="11" name="Implied Volatility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9EE498EE-1990-4192-8071-B92AF679FDA3}" autoFormatId="16" applyNumberFormats="0" applyBorderFormats="0" applyFontFormats="0" applyPatternFormats="0" applyAlignmentFormats="0" applyWidthHeightFormats="0">
  <queryTableRefresh nextId="12">
    <queryTableFields count="11">
      <queryTableField id="1" name="Contract Name" tableColumnId="1"/>
      <queryTableField id="2" name="Last Trade Date" tableColumnId="2"/>
      <queryTableField id="3" name="Strike" tableColumnId="3"/>
      <queryTableField id="4" name="Last Price" tableColumnId="4"/>
      <queryTableField id="5" name="Bid" tableColumnId="5"/>
      <queryTableField id="6" name="Ask" tableColumnId="6"/>
      <queryTableField id="7" name="Change" tableColumnId="7"/>
      <queryTableField id="8" name="% Change" tableColumnId="8"/>
      <queryTableField id="9" name="Volume" tableColumnId="9"/>
      <queryTableField id="10" name="Open Interest" tableColumnId="10"/>
      <queryTableField id="11" name="Implied Volatility" tableColumnId="1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EFDBDD7-C1EC-4670-B9F7-25FDCC659D4D}" autoFormatId="16" applyNumberFormats="0" applyBorderFormats="0" applyFontFormats="0" applyPatternFormats="0" applyAlignmentFormats="0" applyWidthHeightFormats="0">
  <queryTableRefresh nextId="12">
    <queryTableFields count="11">
      <queryTableField id="1" name="Contract Name" tableColumnId="1"/>
      <queryTableField id="2" name="Last Trade Date" tableColumnId="2"/>
      <queryTableField id="3" name="Strike" tableColumnId="3"/>
      <queryTableField id="4" name="Last Price" tableColumnId="4"/>
      <queryTableField id="5" name="Bid" tableColumnId="5"/>
      <queryTableField id="6" name="Ask" tableColumnId="6"/>
      <queryTableField id="7" name="Change" tableColumnId="7"/>
      <queryTableField id="8" name="% Change" tableColumnId="8"/>
      <queryTableField id="9" name="Volume" tableColumnId="9"/>
      <queryTableField id="10" name="Open Interest" tableColumnId="10"/>
      <queryTableField id="11" name="Implied Volatilit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229DD3-BCCB-476E-AD75-3170C2546560}" name="Merge1" displayName="Merge1" ref="A1:H12" tableType="queryTable" totalsRowShown="0">
  <tableColumns count="8">
    <tableColumn id="1" xr3:uid="{E848741F-634F-4B19-9E29-26C730D0ECBC}" uniqueName="1" name="Strike" queryTableFieldId="1" dataDxfId="23"/>
    <tableColumn id="2" xr3:uid="{D1018452-3B2E-4FB0-9C02-84AD23ACA684}" uniqueName="2" name="April 8, 22" queryTableFieldId="2"/>
    <tableColumn id="3" xr3:uid="{C94709A3-465D-4055-AF62-503083FC5E43}" uniqueName="3" name="April 14, 22" queryTableFieldId="3"/>
    <tableColumn id="4" xr3:uid="{30F9DAF2-9BA5-470B-8EA3-A78F69076779}" uniqueName="4" name="May 20, 22" queryTableFieldId="4"/>
    <tableColumn id="5" xr3:uid="{00975F99-AF16-4785-9A43-2CF19785BD1C}" uniqueName="5" name="June 17, 22" queryTableFieldId="5"/>
    <tableColumn id="6" xr3:uid="{2A153C3B-F450-4592-BD7A-EB4FE477A328}" uniqueName="6" name="Sep 16, 22" queryTableFieldId="6"/>
    <tableColumn id="7" xr3:uid="{4E385F65-9423-4F44-847B-CCD419BCC44B}" uniqueName="7" name="Jan 20, 23" queryTableFieldId="7"/>
    <tableColumn id="8" xr3:uid="{AAEB4723-995D-4DFC-9078-D956605D734A}" uniqueName="8" name="Jan 19, 24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7A863B5-6C54-4F48-8F21-CDD38C12EF7F}" name="Jan_19__2024" displayName="Jan_19__2024" ref="A1:K41" tableType="queryTable" totalsRowShown="0">
  <autoFilter ref="A1:K41" xr:uid="{C7A863B5-6C54-4F48-8F21-CDD38C12EF7F}"/>
  <tableColumns count="11">
    <tableColumn id="1" xr3:uid="{0E8F0B6B-CBAF-43BF-91B8-5E92DF4DE670}" uniqueName="1" name="Contract Name" queryTableFieldId="1" dataDxfId="22"/>
    <tableColumn id="2" xr3:uid="{38B6A0AA-950E-4E04-A0EE-04445F574D20}" uniqueName="2" name="Last Trade Date" queryTableFieldId="2" dataDxfId="21"/>
    <tableColumn id="3" xr3:uid="{B2B25C53-DE5C-414E-B195-B6298F73770F}" uniqueName="3" name="Strike" queryTableFieldId="3"/>
    <tableColumn id="4" xr3:uid="{BE6E54A8-5490-49FB-94CF-F0F118D9614D}" uniqueName="4" name="Last Price" queryTableFieldId="4"/>
    <tableColumn id="5" xr3:uid="{16E55AB4-547A-4E99-BFFF-20787CEEDCA8}" uniqueName="5" name="Bid" queryTableFieldId="5"/>
    <tableColumn id="6" xr3:uid="{630FBE03-6DFC-4ED6-88ED-9A91727DD891}" uniqueName="6" name="Ask" queryTableFieldId="6"/>
    <tableColumn id="7" xr3:uid="{B1458D30-D599-45AA-AA61-57977DA7544E}" uniqueName="7" name="Change" queryTableFieldId="7"/>
    <tableColumn id="8" xr3:uid="{4CE004FF-D91F-4693-B204-DCDC78CECCD3}" uniqueName="8" name="% Change" queryTableFieldId="8" dataDxfId="20"/>
    <tableColumn id="9" xr3:uid="{A27B8F6A-E0DF-4B2F-9036-2F41668EF4FC}" uniqueName="9" name="Volume" queryTableFieldId="9"/>
    <tableColumn id="10" xr3:uid="{8B9992DB-6CA2-47EA-BAE9-505D40B68024}" uniqueName="10" name="Open Interest" queryTableFieldId="10"/>
    <tableColumn id="11" xr3:uid="{F81FC39E-C285-4D8D-823E-D8C14684A698}" uniqueName="11" name="Implied Volatility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4F19DAB-F7CE-48EC-AA1B-CF612FD8AC58}" name="Jan_20__2023" displayName="Jan_20__2023" ref="A1:K45" tableType="queryTable" totalsRowShown="0">
  <autoFilter ref="A1:K45" xr:uid="{64F19DAB-F7CE-48EC-AA1B-CF612FD8AC58}"/>
  <tableColumns count="11">
    <tableColumn id="1" xr3:uid="{B9A4841B-3C58-4FA6-891A-98BED33F3B5A}" uniqueName="1" name="Contract Name" queryTableFieldId="1" dataDxfId="19"/>
    <tableColumn id="2" xr3:uid="{2472F44A-4A61-4D96-A804-6912C6541044}" uniqueName="2" name="Last Trade Date" queryTableFieldId="2" dataDxfId="18"/>
    <tableColumn id="3" xr3:uid="{8D37C632-979A-4590-9A74-1CA53FC2C083}" uniqueName="3" name="Strike" queryTableFieldId="3"/>
    <tableColumn id="4" xr3:uid="{26E9F649-1891-4DC9-9A89-5D09EB8BB9C1}" uniqueName="4" name="Last Price" queryTableFieldId="4"/>
    <tableColumn id="5" xr3:uid="{89A30033-356B-47C2-9529-3E62AE84E044}" uniqueName="5" name="Bid" queryTableFieldId="5"/>
    <tableColumn id="6" xr3:uid="{46BCEB05-0B68-4B5C-BDE7-55D3DC7F552E}" uniqueName="6" name="Ask" queryTableFieldId="6"/>
    <tableColumn id="7" xr3:uid="{B9BC05AF-CB8F-4049-A209-3ED3AE4EE35C}" uniqueName="7" name="Change" queryTableFieldId="7"/>
    <tableColumn id="8" xr3:uid="{E7AD61B2-D8FC-42D9-84B2-768472BE775F}" uniqueName="8" name="% Change" queryTableFieldId="8" dataDxfId="17"/>
    <tableColumn id="9" xr3:uid="{FDBCC1D5-839B-4F86-934E-B2E33916CCAE}" uniqueName="9" name="Volume" queryTableFieldId="9"/>
    <tableColumn id="10" xr3:uid="{DBB3B622-1F49-4DF0-A6FA-10E92516F959}" uniqueName="10" name="Open Interest" queryTableFieldId="10"/>
    <tableColumn id="11" xr3:uid="{DDE7A94F-E313-4520-A911-908D2952802B}" uniqueName="11" name="Implied Volatility" queryTableField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FAD744-B2CB-4C4D-9C60-088659125579}" name="Sep_16__2022" displayName="Sep_16__2022" ref="A1:K23" tableType="queryTable" totalsRowShown="0">
  <autoFilter ref="A1:K23" xr:uid="{CDFAD744-B2CB-4C4D-9C60-088659125579}"/>
  <tableColumns count="11">
    <tableColumn id="1" xr3:uid="{A5DC848A-7AA1-4F81-9296-46A3737AF71A}" uniqueName="1" name="Contract Name" queryTableFieldId="1" dataDxfId="16"/>
    <tableColumn id="2" xr3:uid="{65D065BC-2877-44B2-A95E-146D983787AB}" uniqueName="2" name="Last Trade Date" queryTableFieldId="2" dataDxfId="15"/>
    <tableColumn id="3" xr3:uid="{90E99A31-078F-4160-861D-2D30C1BE5E8E}" uniqueName="3" name="Strike" queryTableFieldId="3"/>
    <tableColumn id="4" xr3:uid="{8AABEFCC-8E79-443E-B79A-49290385473F}" uniqueName="4" name="Last Price" queryTableFieldId="4"/>
    <tableColumn id="5" xr3:uid="{F23062C2-BA4F-46F6-9F2F-55EB85EA8845}" uniqueName="5" name="Bid" queryTableFieldId="5"/>
    <tableColumn id="6" xr3:uid="{F77FF63A-EE8F-4440-981C-CF8757E7C812}" uniqueName="6" name="Ask" queryTableFieldId="6"/>
    <tableColumn id="7" xr3:uid="{4B39B79A-1412-49AB-9996-45B99149EC43}" uniqueName="7" name="Change" queryTableFieldId="7"/>
    <tableColumn id="8" xr3:uid="{749531DD-C8CE-4849-B964-C3A85896A1A5}" uniqueName="8" name="% Change" queryTableFieldId="8" dataDxfId="14"/>
    <tableColumn id="9" xr3:uid="{2ABE897A-CADA-461D-ACC5-2898DC235217}" uniqueName="9" name="Volume" queryTableFieldId="9"/>
    <tableColumn id="10" xr3:uid="{790DE964-BB82-4A02-8FDC-1AFCA22F6C3A}" uniqueName="10" name="Open Interest" queryTableFieldId="10"/>
    <tableColumn id="11" xr3:uid="{00044FD9-C0FC-4102-9863-155A081A2A16}" uniqueName="11" name="Implied Volatility" queryTableField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979AA3-33F0-47AC-92D9-34CFC34B3CAE}" name="June_17__2022" displayName="June_17__2022" ref="A1:K39" tableType="queryTable" totalsRowShown="0">
  <autoFilter ref="A1:K39" xr:uid="{F0979AA3-33F0-47AC-92D9-34CFC34B3CAE}"/>
  <tableColumns count="11">
    <tableColumn id="1" xr3:uid="{35D21CE7-B5CB-482C-81B1-3F7114062AE6}" uniqueName="1" name="Contract Name" queryTableFieldId="1" dataDxfId="13"/>
    <tableColumn id="2" xr3:uid="{39BCAEFE-8632-4C3A-9922-6E14906E4C62}" uniqueName="2" name="Last Trade Date" queryTableFieldId="2" dataDxfId="12"/>
    <tableColumn id="3" xr3:uid="{D4FD83BD-9657-4A26-AB5E-7955A76E5352}" uniqueName="3" name="Strike" queryTableFieldId="3"/>
    <tableColumn id="4" xr3:uid="{FEEDB8D3-12DC-41AA-B053-827F0A462B51}" uniqueName="4" name="Last Price" queryTableFieldId="4"/>
    <tableColumn id="5" xr3:uid="{7BF994A1-1991-460C-94E0-8857408CC95A}" uniqueName="5" name="Bid" queryTableFieldId="5"/>
    <tableColumn id="6" xr3:uid="{67457FAF-59EF-425D-BFF8-AA366CEB7EE2}" uniqueName="6" name="Ask" queryTableFieldId="6"/>
    <tableColumn id="7" xr3:uid="{7D685474-4435-407F-AEB4-A16F3D30A2FC}" uniqueName="7" name="Change" queryTableFieldId="7"/>
    <tableColumn id="8" xr3:uid="{FE2B62BB-AC48-43FC-9FC5-0B4ABDCB7ECA}" uniqueName="8" name="% Change" queryTableFieldId="8" dataDxfId="11"/>
    <tableColumn id="9" xr3:uid="{CC17CA1A-BA9B-4907-A0D3-8517A2440D34}" uniqueName="9" name="Volume" queryTableFieldId="9"/>
    <tableColumn id="10" xr3:uid="{B0EAF872-BE44-48EC-A266-2A226CFA6521}" uniqueName="10" name="Open Interest" queryTableFieldId="10"/>
    <tableColumn id="11" xr3:uid="{BBC8EA54-81D7-41DD-9A56-8DED4C800183}" uniqueName="11" name="Implied Volatility" queryTableFieldId="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E3FBB0-470A-45DF-9F4A-332334C48038}" name="May_20__2022" displayName="May_20__2022" ref="A1:K21" tableType="queryTable" totalsRowShown="0">
  <autoFilter ref="A1:K21" xr:uid="{F1E3FBB0-470A-45DF-9F4A-332334C48038}"/>
  <tableColumns count="11">
    <tableColumn id="1" xr3:uid="{B73EE742-35E1-4941-B625-EDFC4F7AF30F}" uniqueName="1" name="Contract Name" queryTableFieldId="1" dataDxfId="10"/>
    <tableColumn id="2" xr3:uid="{691F9DBF-C4C2-4636-B0CC-210290C393B6}" uniqueName="2" name="Last Trade Date" queryTableFieldId="2" dataDxfId="9"/>
    <tableColumn id="3" xr3:uid="{950319FC-E41F-4A8C-8469-77585A8D8B18}" uniqueName="3" name="Strike" queryTableFieldId="3"/>
    <tableColumn id="4" xr3:uid="{05C14FC4-CA59-4AF8-A56F-26CF82CF7122}" uniqueName="4" name="Last Price" queryTableFieldId="4"/>
    <tableColumn id="5" xr3:uid="{A64957BB-2B23-4178-978A-661AAF1DA76C}" uniqueName="5" name="Bid" queryTableFieldId="5"/>
    <tableColumn id="6" xr3:uid="{E29F9345-3B19-45F4-BD7C-7B0703CCB0D2}" uniqueName="6" name="Ask" queryTableFieldId="6"/>
    <tableColumn id="7" xr3:uid="{FE77B418-D3A6-4E90-95FF-B223AAED06B8}" uniqueName="7" name="Change" queryTableFieldId="7"/>
    <tableColumn id="8" xr3:uid="{99E83928-A44B-40D8-8A07-08199A6B39B2}" uniqueName="8" name="% Change" queryTableFieldId="8" dataDxfId="8"/>
    <tableColumn id="9" xr3:uid="{04F4C5DE-63D3-4ABE-995F-6BBEE7064C5D}" uniqueName="9" name="Volume" queryTableFieldId="9"/>
    <tableColumn id="10" xr3:uid="{9A5B5536-8DA1-4051-8E83-5FD08DCE5C92}" uniqueName="10" name="Open Interest" queryTableFieldId="10"/>
    <tableColumn id="11" xr3:uid="{507A473B-B9D0-45D5-9A20-15BED48B1D9D}" uniqueName="11" name="Implied Volatility" queryTableFieldId="1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B60977-1A90-43D5-BDE8-67852C1A9B62}" name="April_14__2022" displayName="April_14__2022" ref="A1:K34" tableType="queryTable" totalsRowShown="0">
  <autoFilter ref="A1:K34" xr:uid="{1AB60977-1A90-43D5-BDE8-67852C1A9B62}"/>
  <tableColumns count="11">
    <tableColumn id="1" xr3:uid="{1218DFBD-710F-45AF-A2EC-020939A5F043}" uniqueName="1" name="Contract Name" queryTableFieldId="1" dataDxfId="7"/>
    <tableColumn id="2" xr3:uid="{231734FC-6F98-4A6F-B832-BE894D4499DF}" uniqueName="2" name="Last Trade Date" queryTableFieldId="2" dataDxfId="6"/>
    <tableColumn id="3" xr3:uid="{7F7F15DE-9F8C-45B2-8833-BE8F29D962F3}" uniqueName="3" name="Strike" queryTableFieldId="3"/>
    <tableColumn id="4" xr3:uid="{64AC3B56-AF8A-4267-B678-040CF81435BC}" uniqueName="4" name="Last Price" queryTableFieldId="4"/>
    <tableColumn id="5" xr3:uid="{2ED67E66-C6B6-435A-889F-863EA829B11A}" uniqueName="5" name="Bid" queryTableFieldId="5"/>
    <tableColumn id="6" xr3:uid="{85844368-DC32-476C-9BCE-C2D8D238DC49}" uniqueName="6" name="Ask" queryTableFieldId="6"/>
    <tableColumn id="7" xr3:uid="{9822334F-C342-47C7-A4BA-1280C6A421ED}" uniqueName="7" name="Change" queryTableFieldId="7"/>
    <tableColumn id="8" xr3:uid="{75BE12ED-3135-403E-BB7E-4EB7D3262F39}" uniqueName="8" name="% Change" queryTableFieldId="8" dataDxfId="5"/>
    <tableColumn id="9" xr3:uid="{93EBA05D-4F6C-4115-8840-B18615A85E1A}" uniqueName="9" name="Volume" queryTableFieldId="9" dataDxfId="4"/>
    <tableColumn id="10" xr3:uid="{B6AAEE35-7EE3-4C34-95DB-B4743CC07ECD}" uniqueName="10" name="Open Interest" queryTableFieldId="10"/>
    <tableColumn id="11" xr3:uid="{739D8526-FDC4-470B-9D70-A9C4EF195375}" uniqueName="11" name="Implied Volatility" queryTableField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B5A4EB-334D-4D42-B56A-9CEE251AF760}" name="April_8__2022" displayName="April_8__2022" ref="A1:K31" tableType="queryTable" totalsRowShown="0">
  <autoFilter ref="A1:K31" xr:uid="{E7B5A4EB-334D-4D42-B56A-9CEE251AF760}"/>
  <tableColumns count="11">
    <tableColumn id="1" xr3:uid="{3CF305F0-EC2E-401C-AD29-7D9FC921E615}" uniqueName="1" name="Contract Name" queryTableFieldId="1" dataDxfId="3"/>
    <tableColumn id="2" xr3:uid="{965B99B3-09AC-4FBE-B7F2-3C87F2F69121}" uniqueName="2" name="Last Trade Date" queryTableFieldId="2" dataDxfId="2"/>
    <tableColumn id="3" xr3:uid="{588D8BBE-A8D4-4686-A0A8-E374BF22A596}" uniqueName="3" name="Strike" queryTableFieldId="3"/>
    <tableColumn id="4" xr3:uid="{EC8065B5-FF10-4844-8901-8F6B368C633A}" uniqueName="4" name="Last Price" queryTableFieldId="4"/>
    <tableColumn id="5" xr3:uid="{04952970-125B-4B6B-811C-B76B75EB2E71}" uniqueName="5" name="Bid" queryTableFieldId="5"/>
    <tableColumn id="6" xr3:uid="{4C6F9616-D6A3-4694-9297-1E12CB52880C}" uniqueName="6" name="Ask" queryTableFieldId="6"/>
    <tableColumn id="7" xr3:uid="{D8A46978-010E-4546-B9B4-E7D09A4DA876}" uniqueName="7" name="Change" queryTableFieldId="7"/>
    <tableColumn id="8" xr3:uid="{6A5F7300-C84D-44AF-9526-7577D69A95BB}" uniqueName="8" name="% Change" queryTableFieldId="8" dataDxfId="1"/>
    <tableColumn id="9" xr3:uid="{C5A9E3C2-ADB3-40D6-9B4D-9533F8BBD627}" uniqueName="9" name="Volume" queryTableFieldId="9" dataDxfId="0"/>
    <tableColumn id="10" xr3:uid="{659B4D93-DF6C-4CBE-B7D0-60BEA9144F8D}" uniqueName="10" name="Open Interest" queryTableFieldId="10"/>
    <tableColumn id="11" xr3:uid="{5D7DF319-ABBF-4C46-A506-FBB26F078C33}" uniqueName="11" name="Implied Volatility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026DC-3CA8-4163-A5B1-EA5CE232007C}">
  <sheetPr codeName="Sheet1"/>
  <dimension ref="A1:V93"/>
  <sheetViews>
    <sheetView zoomScale="70" zoomScaleNormal="70" workbookViewId="0">
      <selection activeCell="R42" sqref="R42"/>
    </sheetView>
  </sheetViews>
  <sheetFormatPr defaultRowHeight="15" x14ac:dyDescent="0.25"/>
  <cols>
    <col min="1" max="1" width="8.42578125" style="2" bestFit="1" customWidth="1"/>
    <col min="2" max="3" width="12" customWidth="1"/>
    <col min="4" max="5" width="11.42578125" customWidth="1"/>
    <col min="6" max="8" width="10.85546875" customWidth="1"/>
    <col min="13" max="13" width="12.5703125" customWidth="1"/>
    <col min="14" max="14" width="14.28515625" customWidth="1"/>
    <col min="15" max="15" width="16.140625" customWidth="1"/>
    <col min="16" max="16" width="13.7109375" customWidth="1"/>
    <col min="17" max="17" width="14.140625" customWidth="1"/>
    <col min="18" max="18" width="13.5703125" customWidth="1"/>
    <col min="19" max="19" width="13.85546875" customWidth="1"/>
    <col min="20" max="20" width="15.140625" customWidth="1"/>
  </cols>
  <sheetData>
    <row r="1" spans="1:8" x14ac:dyDescent="0.25">
      <c r="A1" s="2" t="s">
        <v>2</v>
      </c>
      <c r="B1" t="s">
        <v>563</v>
      </c>
      <c r="C1" t="s">
        <v>564</v>
      </c>
      <c r="D1" t="s">
        <v>565</v>
      </c>
      <c r="E1" t="s">
        <v>566</v>
      </c>
      <c r="F1" t="s">
        <v>567</v>
      </c>
      <c r="G1" t="s">
        <v>568</v>
      </c>
      <c r="H1" t="s">
        <v>569</v>
      </c>
    </row>
    <row r="2" spans="1:8" x14ac:dyDescent="0.25">
      <c r="A2" s="3" t="s">
        <v>570</v>
      </c>
      <c r="B2">
        <v>3.6299000000000001</v>
      </c>
      <c r="C2">
        <v>0.92969999999999997</v>
      </c>
      <c r="D2">
        <v>0.58109999999999995</v>
      </c>
      <c r="E2">
        <v>0.52710000000000001</v>
      </c>
      <c r="F2">
        <v>0.51170000000000004</v>
      </c>
      <c r="G2">
        <v>0.50529999999999997</v>
      </c>
      <c r="H2">
        <v>0.50639999999999996</v>
      </c>
    </row>
    <row r="3" spans="1:8" x14ac:dyDescent="0.25">
      <c r="A3" s="3" t="s">
        <v>572</v>
      </c>
      <c r="B3">
        <v>0.85350000000000004</v>
      </c>
      <c r="C3">
        <v>0.54</v>
      </c>
      <c r="D3">
        <v>0.51119999999999999</v>
      </c>
      <c r="E3">
        <v>0.49609999999999999</v>
      </c>
      <c r="F3">
        <v>0.49280000000000002</v>
      </c>
      <c r="G3">
        <v>0.4894</v>
      </c>
      <c r="H3">
        <v>0.503</v>
      </c>
    </row>
    <row r="4" spans="1:8" x14ac:dyDescent="0.25">
      <c r="A4" s="3" t="s">
        <v>573</v>
      </c>
      <c r="B4">
        <v>0.54490000000000005</v>
      </c>
      <c r="C4">
        <v>0.4531</v>
      </c>
      <c r="D4">
        <v>0.50390000000000001</v>
      </c>
      <c r="E4">
        <v>0.4783</v>
      </c>
      <c r="F4">
        <v>0.47610000000000002</v>
      </c>
      <c r="G4">
        <v>0.47460000000000002</v>
      </c>
      <c r="H4">
        <v>0.49270000000000003</v>
      </c>
    </row>
    <row r="5" spans="1:8" x14ac:dyDescent="0.25">
      <c r="A5" s="3" t="s">
        <v>574</v>
      </c>
      <c r="B5">
        <v>0.40720000000000001</v>
      </c>
      <c r="C5">
        <v>0.41239999999999999</v>
      </c>
      <c r="D5">
        <v>0.49259999999999998</v>
      </c>
      <c r="E5">
        <v>0.46850000000000003</v>
      </c>
      <c r="F5">
        <v>0.46589999999999998</v>
      </c>
      <c r="G5">
        <v>0.46450000000000002</v>
      </c>
      <c r="H5">
        <v>0.48459999999999998</v>
      </c>
    </row>
    <row r="6" spans="1:8" x14ac:dyDescent="0.25">
      <c r="A6" s="3" t="s">
        <v>571</v>
      </c>
      <c r="B6">
        <v>0.4365</v>
      </c>
      <c r="C6">
        <v>0.41599999999999998</v>
      </c>
      <c r="D6">
        <v>0.48180000000000001</v>
      </c>
      <c r="E6">
        <v>0.45700000000000002</v>
      </c>
      <c r="F6">
        <v>0.45219999999999999</v>
      </c>
      <c r="G6">
        <v>0.45700000000000002</v>
      </c>
      <c r="H6">
        <v>0.47739999999999999</v>
      </c>
    </row>
    <row r="7" spans="1:8" x14ac:dyDescent="0.25">
      <c r="A7" s="3" t="s">
        <v>575</v>
      </c>
      <c r="B7">
        <v>0.52339999999999998</v>
      </c>
      <c r="C7">
        <v>0.4551</v>
      </c>
      <c r="D7">
        <v>0.4793</v>
      </c>
      <c r="E7">
        <v>0.45350000000000001</v>
      </c>
      <c r="F7">
        <v>0.44929999999999998</v>
      </c>
      <c r="G7">
        <v>0.44729999999999998</v>
      </c>
      <c r="H7">
        <v>0.4713</v>
      </c>
    </row>
    <row r="8" spans="1:8" x14ac:dyDescent="0.25">
      <c r="A8" s="3" t="s">
        <v>576</v>
      </c>
      <c r="B8">
        <v>0.6875</v>
      </c>
      <c r="C8">
        <v>0.54100000000000004</v>
      </c>
      <c r="D8">
        <v>0.4849</v>
      </c>
      <c r="E8">
        <v>0.45140000000000002</v>
      </c>
      <c r="F8">
        <v>0.44280000000000003</v>
      </c>
      <c r="G8">
        <v>0.44090000000000001</v>
      </c>
      <c r="H8">
        <v>0.43159999999999998</v>
      </c>
    </row>
    <row r="9" spans="1:8" x14ac:dyDescent="0.25">
      <c r="A9" s="3" t="s">
        <v>577</v>
      </c>
      <c r="B9">
        <v>0.84379999999999999</v>
      </c>
      <c r="C9">
        <v>0.625</v>
      </c>
      <c r="D9">
        <v>0.49559999999999998</v>
      </c>
      <c r="E9">
        <v>0.45340000000000003</v>
      </c>
      <c r="F9">
        <v>0.44190000000000002</v>
      </c>
      <c r="G9">
        <v>0.43519999999999998</v>
      </c>
      <c r="H9">
        <v>0.46750000000000003</v>
      </c>
    </row>
    <row r="10" spans="1:8" x14ac:dyDescent="0.25">
      <c r="A10" s="3" t="s">
        <v>578</v>
      </c>
      <c r="B10">
        <v>1.0390999999999999</v>
      </c>
      <c r="C10">
        <v>0.75</v>
      </c>
      <c r="D10">
        <v>0.502</v>
      </c>
      <c r="E10">
        <v>0.4602</v>
      </c>
      <c r="F10">
        <v>0.4335</v>
      </c>
      <c r="G10">
        <v>0.43319999999999997</v>
      </c>
      <c r="H10">
        <v>0.4551</v>
      </c>
    </row>
    <row r="11" spans="1:8" x14ac:dyDescent="0.25">
      <c r="A11" s="3" t="s">
        <v>579</v>
      </c>
      <c r="B11">
        <v>1.2422</v>
      </c>
      <c r="C11">
        <v>0.75780000000000003</v>
      </c>
      <c r="D11">
        <v>0.5171</v>
      </c>
      <c r="E11">
        <v>0.46970000000000001</v>
      </c>
      <c r="F11">
        <v>0.45119999999999999</v>
      </c>
      <c r="G11">
        <v>0.43419999999999997</v>
      </c>
      <c r="H11">
        <v>0.45140000000000002</v>
      </c>
    </row>
    <row r="12" spans="1:8" x14ac:dyDescent="0.25">
      <c r="A12" s="3" t="s">
        <v>580</v>
      </c>
      <c r="B12">
        <v>1.6836</v>
      </c>
      <c r="C12">
        <v>0.86719999999999997</v>
      </c>
      <c r="D12">
        <v>0.52639999999999998</v>
      </c>
      <c r="E12">
        <v>0.48020000000000002</v>
      </c>
      <c r="F12">
        <v>0.44280000000000003</v>
      </c>
      <c r="G12">
        <v>0.4335</v>
      </c>
      <c r="H12">
        <v>0.44869999999999999</v>
      </c>
    </row>
    <row r="14" spans="1:8" x14ac:dyDescent="0.25">
      <c r="A14" s="2" t="s">
        <v>586</v>
      </c>
      <c r="B14">
        <v>83.96</v>
      </c>
    </row>
    <row r="15" spans="1:8" x14ac:dyDescent="0.25">
      <c r="A15" s="2" t="s">
        <v>581</v>
      </c>
    </row>
    <row r="16" spans="1:8" x14ac:dyDescent="0.25">
      <c r="A16" s="2" t="s">
        <v>582</v>
      </c>
      <c r="B16" s="2"/>
    </row>
    <row r="17" spans="1:22" x14ac:dyDescent="0.25">
      <c r="A17" s="2" t="s">
        <v>583</v>
      </c>
      <c r="B17" s="2"/>
    </row>
    <row r="19" spans="1:22" x14ac:dyDescent="0.25">
      <c r="A19" s="8"/>
      <c r="B19" s="9"/>
      <c r="C19" s="9"/>
      <c r="D19" s="9"/>
      <c r="E19" s="9"/>
      <c r="F19" s="9"/>
      <c r="G19" s="9"/>
      <c r="H19" s="9"/>
    </row>
    <row r="20" spans="1:22" x14ac:dyDescent="0.25">
      <c r="A20" s="2" t="s">
        <v>614</v>
      </c>
      <c r="B20">
        <v>9.6167000000000006E-3</v>
      </c>
      <c r="C20">
        <v>9.6167000000000006E-3</v>
      </c>
      <c r="D20">
        <v>9.6167000000000006E-3</v>
      </c>
      <c r="E20">
        <v>9.777000000000001E-3</v>
      </c>
      <c r="F20">
        <v>1.3680399999999999E-2</v>
      </c>
      <c r="G20">
        <v>1.7329199999999999E-2</v>
      </c>
      <c r="H20">
        <v>2.6533500000000002E-2</v>
      </c>
    </row>
    <row r="21" spans="1:22" x14ac:dyDescent="0.25">
      <c r="A21" s="2" t="s">
        <v>585</v>
      </c>
      <c r="M21" t="s">
        <v>587</v>
      </c>
      <c r="N21" s="4">
        <v>44656</v>
      </c>
    </row>
    <row r="22" spans="1:22" x14ac:dyDescent="0.25">
      <c r="B22">
        <v>1.5873015873015872E-2</v>
      </c>
      <c r="C22">
        <v>3.1746031746031744E-2</v>
      </c>
      <c r="D22">
        <v>0.13492063492063491</v>
      </c>
      <c r="E22">
        <v>0.21428571428571427</v>
      </c>
      <c r="F22">
        <v>0.29365079365079366</v>
      </c>
      <c r="G22">
        <v>0.82936507936507942</v>
      </c>
      <c r="H22">
        <v>1.8611111111111112</v>
      </c>
      <c r="M22" t="s">
        <v>588</v>
      </c>
      <c r="N22" s="4">
        <v>44659</v>
      </c>
      <c r="O22" s="4">
        <v>44665</v>
      </c>
      <c r="P22" s="4">
        <v>44701</v>
      </c>
      <c r="Q22" s="4">
        <v>44729</v>
      </c>
      <c r="R22" s="4">
        <v>44820</v>
      </c>
      <c r="S22" s="4">
        <v>44946</v>
      </c>
      <c r="T22" s="4">
        <v>45310</v>
      </c>
    </row>
    <row r="23" spans="1:22" x14ac:dyDescent="0.25">
      <c r="A23" s="2" t="s">
        <v>570</v>
      </c>
      <c r="B23" cm="1">
        <f t="array" ref="B23" xml:space="preserve"> CallDelta($B$14,A23,$B$22,B2,$B$20,$K$23)</f>
        <v>0.83240064455864393</v>
      </c>
      <c r="C23" cm="1">
        <f t="array" ref="C23" xml:space="preserve"> CallDelta($B$14,A23,$C$22,C2,$C$20,$K$23)</f>
        <v>0.98270106859371809</v>
      </c>
      <c r="D23" cm="1">
        <f t="array" ref="D23" xml:space="preserve"> CallDelta($B$14,A23,$D$22,D2,$D$20,$K$23)</f>
        <v>0.95419298161032895</v>
      </c>
      <c r="E23" cm="1">
        <f t="array" ref="E23" xml:space="preserve"> CallDelta($B$14,A23,$E$22,E2,$E$20,$K$23)</f>
        <v>0.9341740244815383</v>
      </c>
      <c r="F23" cm="1">
        <f t="array" ref="F23" xml:space="preserve"> CallDelta($B$14,A23,$F$22,F2,$F$20,$K$23)</f>
        <v>0.91385048473360375</v>
      </c>
      <c r="G23" cm="1">
        <f t="array" ref="G23" xml:space="preserve"> CallDelta($B$14,A23,$G$22,G2,$G$20,$K$23)</f>
        <v>0.83927164264595144</v>
      </c>
      <c r="H23" cm="1">
        <f t="array" ref="H23" xml:space="preserve"> CallDelta($B$14,A23,$H$22,H2,$H$20,$K$23)</f>
        <v>0.8168055547722759</v>
      </c>
      <c r="J23" t="s">
        <v>628</v>
      </c>
      <c r="K23">
        <v>0</v>
      </c>
      <c r="M23" t="s">
        <v>589</v>
      </c>
      <c r="N23">
        <f xml:space="preserve"> NETWORKDAYS($N$21,N22)</f>
        <v>4</v>
      </c>
      <c r="O23">
        <f xml:space="preserve"> NETWORKDAYS(N21,O22)</f>
        <v>8</v>
      </c>
      <c r="P23">
        <f t="shared" ref="P23:T23" si="0" xml:space="preserve"> NETWORKDAYS($N$21,P22)</f>
        <v>34</v>
      </c>
      <c r="Q23">
        <f t="shared" si="0"/>
        <v>54</v>
      </c>
      <c r="R23">
        <f t="shared" si="0"/>
        <v>119</v>
      </c>
      <c r="S23">
        <f t="shared" si="0"/>
        <v>209</v>
      </c>
      <c r="T23">
        <f t="shared" si="0"/>
        <v>469</v>
      </c>
    </row>
    <row r="24" spans="1:22" x14ac:dyDescent="0.25">
      <c r="A24" s="2" t="s">
        <v>572</v>
      </c>
      <c r="B24" cm="1">
        <f t="array" ref="B24" xml:space="preserve"> CallDelta($B$14,A24,$B$22,B3,$B$20,$K$23)</f>
        <v>0.95961908617478031</v>
      </c>
      <c r="C24" cm="1">
        <f t="array" ref="C24" xml:space="preserve"> CallDelta($B$14,A24,$C$22,C3,$C$20,$K$23)</f>
        <v>0.9738882859269743</v>
      </c>
      <c r="D24" cm="1">
        <f t="array" ref="D24" xml:space="preserve"> CallDelta($B$14,A24,$D$22,D3,$D$20,$K$23)</f>
        <v>0.85751788380783489</v>
      </c>
      <c r="E24" cm="1">
        <f t="array" ref="E24" xml:space="preserve"> CallDelta($B$14,A24,$E$22,E3,$E$20,$K$23)</f>
        <v>0.82011025836618101</v>
      </c>
      <c r="F24" cm="1">
        <f t="array" ref="F24" xml:space="preserve"> CallDelta($B$14,A24,$F$22,F3,$F$20,$K$23)</f>
        <v>0.79659406729329352</v>
      </c>
      <c r="G24" cm="1">
        <f t="array" ref="G24" xml:space="preserve"> CallDelta($B$14,A24,$G$22,G3,$G$20,$K$23)</f>
        <v>0.74636628089595591</v>
      </c>
      <c r="H24" cm="1">
        <f t="array" ref="H24" xml:space="preserve"> CallDelta($B$14,A24,$H$22,H3,$H$20,$K$23)</f>
        <v>0.75176912950204611</v>
      </c>
      <c r="M24" t="s">
        <v>590</v>
      </c>
      <c r="N24">
        <f>4/252</f>
        <v>1.5873015873015872E-2</v>
      </c>
      <c r="O24">
        <f t="shared" ref="O24:T24" si="1">O23/252</f>
        <v>3.1746031746031744E-2</v>
      </c>
      <c r="P24">
        <f t="shared" si="1"/>
        <v>0.13492063492063491</v>
      </c>
      <c r="Q24">
        <f t="shared" si="1"/>
        <v>0.21428571428571427</v>
      </c>
      <c r="R24">
        <f t="shared" si="1"/>
        <v>0.47222222222222221</v>
      </c>
      <c r="S24">
        <f t="shared" si="1"/>
        <v>0.82936507936507942</v>
      </c>
      <c r="T24">
        <f t="shared" si="1"/>
        <v>1.8611111111111112</v>
      </c>
    </row>
    <row r="25" spans="1:22" x14ac:dyDescent="0.25">
      <c r="A25" s="2" t="s">
        <v>573</v>
      </c>
      <c r="B25" cm="1">
        <f t="array" ref="B25" xml:space="preserve"> CallDelta($B$14,A25,$B$22,B4,$B$20,$K$23)</f>
        <v>0.95356088231154235</v>
      </c>
      <c r="C25" cm="1">
        <f t="array" ref="C25" xml:space="preserve"> CallDelta($B$14,A25,$C$22,C4,$C$20,$K$23)</f>
        <v>0.92535354810320358</v>
      </c>
      <c r="D25" cm="1">
        <f t="array" ref="D25" xml:space="preserve"> CallDelta($B$14,A25,$D$22,D4,$D$20,$K$23)</f>
        <v>0.76092171428095645</v>
      </c>
      <c r="E25" cm="1">
        <f t="array" ref="E25" xml:space="preserve"> CallDelta($B$14,A25,$E$22,E4,$E$20,$K$23)</f>
        <v>0.73560896793299979</v>
      </c>
      <c r="F25" cm="1">
        <f t="array" ref="F25" xml:space="preserve"> CallDelta($B$14,A25,$F$22,F4,$F$20,$K$23)</f>
        <v>0.71971246150080481</v>
      </c>
      <c r="G25" cm="1">
        <f t="array" ref="G25" xml:space="preserve"> CallDelta($B$14,A25,$G$22,G4,$G$20,$K$23)</f>
        <v>0.69513618571647473</v>
      </c>
      <c r="H25" cm="1">
        <f t="array" ref="H25" xml:space="preserve"> CallDelta($B$14,A25,$H$22,H4,$H$20,$K$23)</f>
        <v>0.71817940091515875</v>
      </c>
    </row>
    <row r="26" spans="1:22" x14ac:dyDescent="0.25">
      <c r="A26" s="2" t="s">
        <v>574</v>
      </c>
      <c r="B26" cm="1">
        <f t="array" ref="B26" xml:space="preserve"> CallDelta($B$14,A26,$B$22,B5,$B$20,$K$23)</f>
        <v>0.83406984976419141</v>
      </c>
      <c r="C26" cm="1">
        <f t="array" ref="C26" xml:space="preserve"> CallDelta($B$14,A26,$C$22,C5,$C$20,$K$23)</f>
        <v>0.75754065398473525</v>
      </c>
      <c r="D26" cm="1">
        <f t="array" ref="D26" xml:space="preserve"> CallDelta($B$14,A26,$D$22,D5,$D$20,$K$23)</f>
        <v>0.64231633490520057</v>
      </c>
      <c r="E26" cm="1">
        <f t="array" ref="E26" xml:space="preserve"> CallDelta($B$14,A26,$E$22,E5,$E$20,$K$23)</f>
        <v>0.6333998595043151</v>
      </c>
      <c r="F26" cm="1">
        <f t="array" ref="F26" xml:space="preserve"> CallDelta($B$14,A26,$F$22,F5,$F$20,$K$23)</f>
        <v>0.63062603300121733</v>
      </c>
      <c r="G26" cm="1">
        <f t="array" ref="G26" xml:space="preserve"> CallDelta($B$14,A26,$G$22,G5,$G$20,$K$23)</f>
        <v>0.64046303170481833</v>
      </c>
      <c r="H26" cm="1">
        <f t="array" ref="H26" xml:space="preserve"> CallDelta($B$14,A26,$H$22,H5,$H$20,$K$23)</f>
        <v>0.68379176810207598</v>
      </c>
      <c r="M26" t="s">
        <v>632</v>
      </c>
    </row>
    <row r="27" spans="1:22" x14ac:dyDescent="0.25">
      <c r="A27" s="2" t="s">
        <v>571</v>
      </c>
      <c r="B27" cm="1">
        <f t="array" ref="B27" xml:space="preserve"> CallDelta($B$14,A27,$B$22,B6,$B$20,$K$23)</f>
        <v>0.42325060687761362</v>
      </c>
      <c r="C27" cm="1">
        <f t="array" ref="C27" xml:space="preserve"> CallDelta($B$14,A27,$C$22,C6,$C$20,$K$23)</f>
        <v>0.45029652868766779</v>
      </c>
      <c r="D27" cm="1">
        <f t="array" ref="D27" xml:space="preserve"> CallDelta($B$14,A27,$D$22,D6,$D$20,$K$23)</f>
        <v>0.5104729401899516</v>
      </c>
      <c r="E27" cm="1">
        <f t="array" ref="E27" xml:space="preserve"> CallDelta($B$14,A27,$E$22,E6,$E$20,$K$23)</f>
        <v>0.52292065341223748</v>
      </c>
      <c r="F27" cm="1">
        <f t="array" ref="F27" xml:space="preserve"> CallDelta($B$14,A27,$F$22,F6,$F$20,$K$23)</f>
        <v>0.53533101188217624</v>
      </c>
      <c r="G27" cm="1">
        <f t="array" ref="G27" xml:space="preserve"> CallDelta($B$14,A27,$G$22,G6,$G$20,$K$23)</f>
        <v>0.58435484731261045</v>
      </c>
      <c r="H27" cm="1">
        <f t="array" ref="H27" xml:space="preserve"> CallDelta($B$14,A27,$H$22,H6,$H$20,$K$23)</f>
        <v>0.64897727056476917</v>
      </c>
      <c r="M27" s="9" t="s">
        <v>591</v>
      </c>
      <c r="N27" s="9"/>
      <c r="O27" s="9"/>
      <c r="P27" s="9"/>
      <c r="Q27" s="9"/>
      <c r="R27" s="9"/>
      <c r="S27" s="9"/>
      <c r="T27" s="9"/>
      <c r="U27" s="9"/>
    </row>
    <row r="28" spans="1:22" x14ac:dyDescent="0.25">
      <c r="A28" s="2" t="s">
        <v>575</v>
      </c>
      <c r="B28" cm="1">
        <f t="array" ref="B28" xml:space="preserve"> CallDelta($B$14,A28,$B$22,B7,$B$20,$K$23)</f>
        <v>0.15429148651364666</v>
      </c>
      <c r="C28" cm="1">
        <f t="array" ref="C28" xml:space="preserve"> CallDelta($B$14,A28,$C$22,C7,$C$20,$K$23)</f>
        <v>0.20827683076060785</v>
      </c>
      <c r="D28" cm="1">
        <f t="array" ref="D28" xml:space="preserve"> CallDelta($B$14,A28,$D$22,D7,$D$20,$K$23)</f>
        <v>0.38239657819322448</v>
      </c>
      <c r="E28" cm="1">
        <f t="array" ref="E28" xml:space="preserve"> CallDelta($B$14,A28,$E$22,E7,$E$20,$K$23)</f>
        <v>0.41450492761368574</v>
      </c>
      <c r="F28" cm="1">
        <f t="array" ref="F28" xml:space="preserve"> CallDelta($B$14,A28,$F$22,F7,$F$20,$K$23)</f>
        <v>0.44153104635658913</v>
      </c>
      <c r="G28" cm="1">
        <f t="array" ref="G28" xml:space="preserve"> CallDelta($B$14,A28,$G$22,G7,$G$20,$K$23)</f>
        <v>0.52727480828795215</v>
      </c>
      <c r="H28" cm="1">
        <f t="array" ref="H28" xml:space="preserve"> CallDelta($B$14,A28,$H$22,H7,$H$20,$K$23)</f>
        <v>0.61418278696995121</v>
      </c>
      <c r="M28" s="9" t="s">
        <v>592</v>
      </c>
      <c r="N28" s="9" t="s">
        <v>593</v>
      </c>
      <c r="O28" s="9" t="s">
        <v>594</v>
      </c>
      <c r="P28" s="9" t="s">
        <v>595</v>
      </c>
      <c r="Q28" s="9" t="s">
        <v>596</v>
      </c>
      <c r="R28" s="9" t="s">
        <v>597</v>
      </c>
      <c r="S28" s="9" t="s">
        <v>598</v>
      </c>
      <c r="T28" s="9" t="s">
        <v>599</v>
      </c>
      <c r="U28" s="9" t="s">
        <v>600</v>
      </c>
      <c r="V28" t="s">
        <v>584</v>
      </c>
    </row>
    <row r="29" spans="1:22" x14ac:dyDescent="0.25">
      <c r="A29" s="2" t="s">
        <v>576</v>
      </c>
      <c r="B29" cm="1">
        <f t="array" ref="B29" xml:space="preserve"> CallDelta($B$14,A29,$B$22,B8,$B$20,$K$23)</f>
        <v>8.3613518246320975E-2</v>
      </c>
      <c r="C29" cm="1">
        <f t="array" ref="C29" xml:space="preserve"> CallDelta($B$14,A29,$C$22,C8,$C$20,$K$23)</f>
        <v>0.10930399509306704</v>
      </c>
      <c r="D29" cm="1">
        <f t="array" ref="D29" xml:space="preserve"> CallDelta($B$14,A29,$D$22,D8,$D$20,$K$23)</f>
        <v>0.27516996697229856</v>
      </c>
      <c r="E29" cm="1">
        <f t="array" ref="E29" xml:space="preserve"> CallDelta($B$14,A29,$E$22,E8,$E$20,$K$23)</f>
        <v>0.31678856243691933</v>
      </c>
      <c r="F29" cm="1">
        <f t="array" ref="F29" xml:space="preserve"> CallDelta($B$14,A29,$F$22,F8,$F$20,$K$23)</f>
        <v>0.35267009837287627</v>
      </c>
      <c r="G29" cm="1">
        <f t="array" ref="G29" xml:space="preserve"> CallDelta($B$14,A29,$G$22,G8,$G$20,$K$23)</f>
        <v>0.47165471684790267</v>
      </c>
      <c r="H29" cm="1">
        <f t="array" ref="H29" xml:space="preserve"> CallDelta($B$14,A29,$H$22,H8,$H$20,$K$23)</f>
        <v>0.5668884569192455</v>
      </c>
      <c r="M29" s="14">
        <v>44659</v>
      </c>
      <c r="N29" s="9">
        <v>10.55</v>
      </c>
      <c r="O29" s="9">
        <v>0.02</v>
      </c>
      <c r="P29" s="9">
        <v>0.09</v>
      </c>
      <c r="Q29" s="9">
        <v>11.11</v>
      </c>
      <c r="R29" s="9">
        <v>60</v>
      </c>
      <c r="S29" s="9">
        <v>95</v>
      </c>
      <c r="T29" s="9">
        <f xml:space="preserve"> S29-R29</f>
        <v>35</v>
      </c>
      <c r="U29" s="9">
        <f xml:space="preserve"> (N29-O29+Q29-P29)/T29</f>
        <v>0.61571428571428577</v>
      </c>
    </row>
    <row r="30" spans="1:22" x14ac:dyDescent="0.25">
      <c r="A30" s="2" t="s">
        <v>577</v>
      </c>
      <c r="B30" cm="1">
        <f t="array" ref="B30" xml:space="preserve"> CallDelta($B$14,A30,$B$22,B9,$B$20,$K$23)</f>
        <v>5.5922427954008223E-2</v>
      </c>
      <c r="C30" cm="1">
        <f t="array" ref="C30" xml:space="preserve"> CallDelta($B$14,A30,$C$22,C9,$C$20,$K$23)</f>
        <v>6.5324725652786533E-2</v>
      </c>
      <c r="D30" cm="1">
        <f t="array" ref="D30" xml:space="preserve"> CallDelta($B$14,A30,$D$22,D9,$D$20,$K$23)</f>
        <v>0.19427901906590245</v>
      </c>
      <c r="E30" cm="1">
        <f t="array" ref="E30" xml:space="preserve"> CallDelta($B$14,A30,$E$22,E9,$E$20,$K$23)</f>
        <v>0.23635983889620354</v>
      </c>
      <c r="F30" cm="1">
        <f t="array" ref="F30" xml:space="preserve"> CallDelta($B$14,A30,$F$22,F9,$F$20,$K$23)</f>
        <v>0.27639627817644707</v>
      </c>
      <c r="G30" cm="1">
        <f t="array" ref="G30" xml:space="preserve"> CallDelta($B$14,A30,$G$22,G9,$G$20,$K$23)</f>
        <v>0.41812733622608761</v>
      </c>
      <c r="H30" cm="1">
        <f t="array" ref="H30" xml:space="preserve"> CallDelta($B$14,A30,$H$22,H9,$H$20,$K$23)</f>
        <v>0.54862638310726775</v>
      </c>
      <c r="M30" s="14">
        <v>44665</v>
      </c>
      <c r="N30" s="9">
        <v>19</v>
      </c>
      <c r="O30" s="9">
        <v>0.11</v>
      </c>
      <c r="P30" s="9">
        <v>0.13</v>
      </c>
      <c r="Q30" s="9">
        <v>11.22</v>
      </c>
      <c r="R30" s="9">
        <v>60</v>
      </c>
      <c r="S30" s="9">
        <v>95</v>
      </c>
      <c r="T30" s="9">
        <f t="shared" ref="T30:T35" si="2" xml:space="preserve"> S30-R30</f>
        <v>35</v>
      </c>
      <c r="U30" s="9">
        <f t="shared" ref="U30:U34" si="3" xml:space="preserve"> (N30-O30+Q30-P30)/T30</f>
        <v>0.85657142857142854</v>
      </c>
    </row>
    <row r="31" spans="1:22" x14ac:dyDescent="0.25">
      <c r="A31" s="2" t="s">
        <v>578</v>
      </c>
      <c r="B31" cm="1">
        <f t="array" ref="B31" xml:space="preserve"> CallDelta($B$14,A31,$B$22,B10,$B$20,$K$23)</f>
        <v>5.0345155553572857E-2</v>
      </c>
      <c r="C31" cm="1">
        <f t="array" ref="C31" xml:space="preserve"> CallDelta($B$14,A31,$C$22,C10,$C$20,$K$23)</f>
        <v>5.4322003247561847E-2</v>
      </c>
      <c r="D31" cm="1">
        <f t="array" ref="D31" xml:space="preserve"> CallDelta($B$14,A31,$D$22,D10,$D$20,$K$23)</f>
        <v>0.13274546636219439</v>
      </c>
      <c r="E31" cm="1">
        <f t="array" ref="E31" xml:space="preserve"> CallDelta($B$14,A31,$E$22,E10,$E$20,$K$23)</f>
        <v>0.1753184788111336</v>
      </c>
      <c r="F31" cm="1">
        <f t="array" ref="F31" xml:space="preserve"> CallDelta($B$14,A31,$F$22,F10,$F$20,$K$23)</f>
        <v>0.20685724204453679</v>
      </c>
      <c r="G31" cm="1">
        <f t="array" ref="G31" xml:space="preserve"> CallDelta($B$14,A31,$G$22,G10,$G$20,$K$23)</f>
        <v>0.36951496703274872</v>
      </c>
      <c r="H31" cm="1">
        <f t="array" ref="H31" xml:space="preserve"> CallDelta($B$14,A31,$H$22,H10,$H$20,$K$23)</f>
        <v>0.51188241206180241</v>
      </c>
      <c r="M31" s="14">
        <v>44701</v>
      </c>
      <c r="N31" s="9">
        <v>19.12</v>
      </c>
      <c r="O31" s="9">
        <v>1.28</v>
      </c>
      <c r="P31" s="9">
        <v>0.52</v>
      </c>
      <c r="Q31" s="9">
        <v>15.25</v>
      </c>
      <c r="R31" s="9">
        <v>60</v>
      </c>
      <c r="S31" s="9">
        <v>95</v>
      </c>
      <c r="T31" s="9">
        <f t="shared" si="2"/>
        <v>35</v>
      </c>
      <c r="U31" s="9">
        <f t="shared" si="3"/>
        <v>0.9305714285714286</v>
      </c>
    </row>
    <row r="32" spans="1:22" x14ac:dyDescent="0.25">
      <c r="A32" s="2" t="s">
        <v>579</v>
      </c>
      <c r="B32" cm="1">
        <f t="array" ref="B32" xml:space="preserve"> CallDelta($B$14,A32,$B$22,B11,$B$20,$K$23)</f>
        <v>4.9791428774725977E-2</v>
      </c>
      <c r="C32" cm="1">
        <f t="array" ref="C32" xml:space="preserve"> CallDelta($B$14,A32,$C$22,C11,$C$20,$K$23)</f>
        <v>2.6743827640920908E-2</v>
      </c>
      <c r="D32" cm="1">
        <f t="array" ref="D32" xml:space="preserve"> CallDelta($B$14,A32,$D$22,D11,$D$20,$K$23)</f>
        <v>9.3343030259563115E-2</v>
      </c>
      <c r="E32" cm="1">
        <f t="array" ref="E32" xml:space="preserve"> CallDelta($B$14,A32,$E$22,E11,$E$20,$K$23)</f>
        <v>0.13048981306274934</v>
      </c>
      <c r="F32" cm="1">
        <f t="array" ref="F32" xml:space="preserve"> CallDelta($B$14,A32,$F$22,F11,$F$20,$K$23)</f>
        <v>0.16697960624845357</v>
      </c>
      <c r="G32" cm="1">
        <f t="array" ref="G32" xml:space="preserve"> CallDelta($B$14,A32,$G$22,G11,$G$20,$K$23)</f>
        <v>0.32667711012872247</v>
      </c>
      <c r="H32" cm="1">
        <f t="array" ref="H32" xml:space="preserve"> CallDelta($B$14,A32,$H$22,H11,$H$20,$K$23)</f>
        <v>0.47983106020190924</v>
      </c>
      <c r="M32" s="14">
        <v>44729</v>
      </c>
      <c r="N32" s="9">
        <v>22.05</v>
      </c>
      <c r="O32" s="9">
        <v>2</v>
      </c>
      <c r="P32" s="9">
        <v>0.81</v>
      </c>
      <c r="Q32" s="9">
        <v>13.5</v>
      </c>
      <c r="R32" s="9">
        <v>60</v>
      </c>
      <c r="S32" s="9">
        <v>95</v>
      </c>
      <c r="T32" s="9">
        <f t="shared" si="2"/>
        <v>35</v>
      </c>
      <c r="U32" s="9">
        <f t="shared" si="3"/>
        <v>0.93542857142857128</v>
      </c>
    </row>
    <row r="33" spans="1:21" x14ac:dyDescent="0.25">
      <c r="A33" s="2" t="s">
        <v>580</v>
      </c>
      <c r="B33" cm="1">
        <f t="array" ref="B33" xml:space="preserve"> CallDelta($B$14,A33,$B$22,B12,$B$20,$K$23)</f>
        <v>8.4356470898293817E-2</v>
      </c>
      <c r="C33" cm="1">
        <f t="array" ref="C33" xml:space="preserve"> CallDelta($B$14,A33,$C$22,C12,$C$20,$K$23)</f>
        <v>2.51858951091549E-2</v>
      </c>
      <c r="D33" cm="1">
        <f t="array" ref="D33" xml:space="preserve"> CallDelta($B$14,A33,$D$22,D12,$D$20,$K$23)</f>
        <v>6.3800683102274366E-2</v>
      </c>
      <c r="E33" cm="1">
        <f t="array" ref="E33" xml:space="preserve"> CallDelta($B$14,A33,$E$22,E12,$E$20,$K$23)</f>
        <v>9.7717941834413596E-2</v>
      </c>
      <c r="F33" cm="1">
        <f t="array" ref="F33" xml:space="preserve"> CallDelta($B$14,A33,$F$22,F12,$F$20,$K$23)</f>
        <v>0.12012811855453873</v>
      </c>
      <c r="G33" cm="1">
        <f t="array" ref="G33" xml:space="preserve"> CallDelta($B$14,A33,$G$22,G12,$G$20,$K$23)</f>
        <v>0.28669442627541147</v>
      </c>
      <c r="H33" cm="1">
        <f t="array" ref="H33" xml:space="preserve"> CallDelta($B$14,A33,$H$22,H12,$H$20,$K$23)</f>
        <v>0.44939309428264268</v>
      </c>
      <c r="M33" s="14">
        <v>44758</v>
      </c>
      <c r="N33" s="9">
        <v>23.3</v>
      </c>
      <c r="O33" s="9">
        <v>4.4400000000000004</v>
      </c>
      <c r="P33" s="9">
        <v>1.87</v>
      </c>
      <c r="Q33" s="9">
        <v>16</v>
      </c>
      <c r="R33" s="9">
        <v>60</v>
      </c>
      <c r="S33" s="9">
        <v>95</v>
      </c>
      <c r="T33" s="9">
        <f t="shared" si="2"/>
        <v>35</v>
      </c>
      <c r="U33" s="9">
        <f t="shared" si="3"/>
        <v>0.94257142857142862</v>
      </c>
    </row>
    <row r="34" spans="1:21" x14ac:dyDescent="0.25">
      <c r="M34" s="14">
        <v>44946</v>
      </c>
      <c r="N34" s="9">
        <v>29.22</v>
      </c>
      <c r="O34" s="9">
        <v>7.15</v>
      </c>
      <c r="P34" s="9">
        <v>3.7</v>
      </c>
      <c r="Q34" s="9">
        <v>18.8</v>
      </c>
      <c r="R34" s="9">
        <v>60</v>
      </c>
      <c r="S34" s="9">
        <v>95</v>
      </c>
      <c r="T34" s="9">
        <f t="shared" si="2"/>
        <v>35</v>
      </c>
      <c r="U34" s="9">
        <f t="shared" si="3"/>
        <v>1.0620000000000001</v>
      </c>
    </row>
    <row r="35" spans="1:21" x14ac:dyDescent="0.25">
      <c r="A35" s="2" t="s">
        <v>601</v>
      </c>
      <c r="M35" s="14">
        <v>45310</v>
      </c>
      <c r="N35" s="9">
        <v>33.950000000000003</v>
      </c>
      <c r="O35" s="9">
        <v>11.4</v>
      </c>
      <c r="P35" s="9">
        <v>7.15</v>
      </c>
      <c r="Q35" s="9">
        <v>23.75</v>
      </c>
      <c r="R35" s="9">
        <v>60</v>
      </c>
      <c r="S35" s="9">
        <v>95</v>
      </c>
      <c r="T35" s="9">
        <f t="shared" si="2"/>
        <v>35</v>
      </c>
      <c r="U35" s="9">
        <f xml:space="preserve"> (N35-O35+Q35-P35)/T35</f>
        <v>1.1185714285714288</v>
      </c>
    </row>
    <row r="37" spans="1:21" x14ac:dyDescent="0.25">
      <c r="B37">
        <v>1.5873015873015872E-2</v>
      </c>
      <c r="C37">
        <v>3.1746031746031744E-2</v>
      </c>
      <c r="D37">
        <v>0.13492063492063491</v>
      </c>
      <c r="E37">
        <v>0.21428571428571427</v>
      </c>
      <c r="F37">
        <v>0.29365079365079366</v>
      </c>
      <c r="G37">
        <v>0.82936507936507942</v>
      </c>
      <c r="H37">
        <v>1.8611111111111112</v>
      </c>
    </row>
    <row r="38" spans="1:21" x14ac:dyDescent="0.25">
      <c r="A38" s="2" t="s">
        <v>570</v>
      </c>
      <c r="B38" cm="1">
        <f t="array" ref="B38" xml:space="preserve"> CallGamma($B$14,A38,$B$22,B2,$B$20,$K$23)</f>
        <v>6.5305044908581539E-3</v>
      </c>
      <c r="C38" cm="1">
        <f t="array" ref="C38" xml:space="preserve"> CallGamma($B$14,A38,$C$22,C2,$C$20,$K$23)</f>
        <v>3.0768524053496884E-3</v>
      </c>
      <c r="D38" cm="1">
        <f t="array" ref="D38" xml:space="preserve"> CallGamma($B$14,A38,$D$22,D2,$D$20,$K$23)</f>
        <v>5.3652994433387776E-3</v>
      </c>
      <c r="E38" cm="1">
        <f t="array" ref="E38" xml:space="preserve"> CallGamma($B$14,A38,$E$22,E2,$E$20,$K$23)</f>
        <v>6.2501505947714529E-3</v>
      </c>
      <c r="F38" cm="1">
        <f t="array" ref="F38" xml:space="preserve"> CallGamma($B$14,A38,$F$22,F2,$F$20,$K$23)</f>
        <v>6.7514829190946932E-3</v>
      </c>
      <c r="G38" cm="1">
        <f t="array" ref="G38" xml:space="preserve"> CallGamma($B$14,A38,$G$22,G2,$G$20,$K$23)</f>
        <v>6.3162231965685368E-3</v>
      </c>
      <c r="H38" cm="1">
        <f t="array" ref="H38" xml:space="preserve"> CallGamma($B$14,A38,$H$22,H2,$H$20,$K$23)</f>
        <v>4.5739636837750569E-3</v>
      </c>
    </row>
    <row r="39" spans="1:21" x14ac:dyDescent="0.25">
      <c r="A39" s="2" t="s">
        <v>572</v>
      </c>
      <c r="B39" cm="1">
        <f t="array" ref="B39" xml:space="preserve"> CallGamma($B$14,A39,$B$22,B3,$B$20,$K$23)</f>
        <v>9.6186275433470438E-3</v>
      </c>
      <c r="C39" cm="1">
        <f t="array" ref="C39" xml:space="preserve"> CallGamma($B$14,A39,$C$22,C3,$C$20,$K$23)</f>
        <v>7.503411599450234E-3</v>
      </c>
      <c r="D39" cm="1">
        <f t="array" ref="D39" xml:space="preserve"> CallGamma($B$14,A39,$D$22,D3,$D$20,$K$23)</f>
        <v>1.4287345456624018E-2</v>
      </c>
      <c r="E39" cm="1">
        <f t="array" ref="E39" xml:space="preserve"> CallGamma($B$14,A39,$E$22,E3,$E$20,$K$23)</f>
        <v>1.3603744933962932E-2</v>
      </c>
      <c r="F39" cm="1">
        <f t="array" ref="F39" xml:space="preserve"> CallGamma($B$14,A39,$F$22,F3,$F$20,$K$23)</f>
        <v>1.2613413436798667E-2</v>
      </c>
      <c r="G39" cm="1">
        <f t="array" ref="G39" xml:space="preserve"> CallGamma($B$14,A39,$G$22,G3,$G$20,$K$23)</f>
        <v>8.5569939291296835E-3</v>
      </c>
      <c r="H39" cm="1">
        <f t="array" ref="H39" xml:space="preserve"> CallGamma($B$14,A39,$H$22,H3,$H$20,$K$23)</f>
        <v>5.4948354254317263E-3</v>
      </c>
    </row>
    <row r="40" spans="1:21" x14ac:dyDescent="0.25">
      <c r="A40" s="2" t="s">
        <v>573</v>
      </c>
      <c r="B40" cm="1">
        <f t="array" ref="B40" xml:space="preserve"> CallGamma($B$14,A40,$B$22,B4,$B$20,$K$23)</f>
        <v>1.6866230928448793E-2</v>
      </c>
      <c r="C40" cm="1">
        <f t="array" ref="C40" xml:space="preserve"> CallGamma($B$14,A40,$C$22,C4,$C$20,$K$23)</f>
        <v>2.0808926301972144E-2</v>
      </c>
      <c r="D40" cm="1">
        <f t="array" ref="D40" xml:space="preserve"> CallGamma($B$14,A40,$D$22,D4,$D$20,$K$23)</f>
        <v>1.9962501448178915E-2</v>
      </c>
      <c r="E40" cm="1">
        <f t="array" ref="E40" xml:space="preserve"> CallGamma($B$14,A40,$E$22,E4,$E$20,$K$23)</f>
        <v>1.7599141500701333E-2</v>
      </c>
      <c r="F40" cm="1">
        <f t="array" ref="F40" xml:space="preserve"> CallGamma($B$14,A40,$F$22,F4,$F$20,$K$23)</f>
        <v>1.5547982155367122E-2</v>
      </c>
      <c r="G40" cm="1">
        <f t="array" ref="G40" xml:space="preserve"> CallGamma($B$14,A40,$G$22,G4,$G$20,$K$23)</f>
        <v>9.6506061792338803E-3</v>
      </c>
      <c r="H40" cm="1">
        <f t="array" ref="H40" xml:space="preserve"> CallGamma($B$14,A40,$H$22,H4,$H$20,$K$23)</f>
        <v>5.983614612058377E-3</v>
      </c>
    </row>
    <row r="41" spans="1:21" x14ac:dyDescent="0.25">
      <c r="A41" s="2" t="s">
        <v>574</v>
      </c>
      <c r="B41" cm="1">
        <f t="array" ref="B41" xml:space="preserve"> CallGamma($B$14,A41,$B$22,B5,$B$20,$K$23)</f>
        <v>5.7840080008136084E-2</v>
      </c>
      <c r="C41" cm="1">
        <f t="array" ref="C41" xml:space="preserve"> CallGamma($B$14,A41,$C$22,C5,$C$20,$K$23)</f>
        <v>5.0670348867095726E-2</v>
      </c>
      <c r="D41" cm="1">
        <f t="array" ref="D41" xml:space="preserve"> CallGamma($B$14,A41,$D$22,D5,$D$20,$K$23)</f>
        <v>2.4571344300369218E-2</v>
      </c>
      <c r="E41" cm="1">
        <f t="array" ref="E41" xml:space="preserve"> CallGamma($B$14,A41,$E$22,E5,$E$20,$K$23)</f>
        <v>2.0672849908462125E-2</v>
      </c>
      <c r="F41" cm="1">
        <f t="array" ref="F41" xml:space="preserve"> CallGamma($B$14,A41,$F$22,F5,$F$20,$K$23)</f>
        <v>1.7802295787324441E-2</v>
      </c>
      <c r="G41" cm="1">
        <f t="array" ref="G41" xml:space="preserve"> CallGamma($B$14,A41,$G$22,G5,$G$20,$K$23)</f>
        <v>1.0528928036022372E-2</v>
      </c>
      <c r="H41" cm="1">
        <f t="array" ref="H41" xml:space="preserve"> CallGamma($B$14,A41,$H$22,H5,$H$20,$K$23)</f>
        <v>6.410401061279514E-3</v>
      </c>
    </row>
    <row r="42" spans="1:21" x14ac:dyDescent="0.25">
      <c r="A42" s="2" t="s">
        <v>571</v>
      </c>
      <c r="B42" cm="1">
        <f t="array" ref="B42" xml:space="preserve"> CallGamma($B$14,A42,$B$22,B6,$B$20,$K$23)</f>
        <v>8.4798091186449084E-2</v>
      </c>
      <c r="C42" cm="1">
        <f t="array" ref="C42" xml:space="preserve"> CallGamma($B$14,A42,$C$22,C6,$C$20,$K$23)</f>
        <v>6.3607953224127961E-2</v>
      </c>
      <c r="D42" cm="1">
        <f t="array" ref="D42" xml:space="preserve"> CallGamma($B$14,A42,$D$22,D6,$D$20,$K$23)</f>
        <v>2.6839966507177508E-2</v>
      </c>
      <c r="E42" cm="1">
        <f t="array" ref="E42" xml:space="preserve"> CallGamma($B$14,A42,$E$22,E6,$E$20,$K$23)</f>
        <v>2.2423698875980759E-2</v>
      </c>
      <c r="F42" cm="1">
        <f t="array" ref="F42" xml:space="preserve"> CallGamma($B$14,A42,$F$22,F6,$F$20,$K$23)</f>
        <v>1.9314518964238303E-2</v>
      </c>
      <c r="G42" cm="1">
        <f t="array" ref="G42" xml:space="preserve"> CallGamma($B$14,A42,$G$22,G6,$G$20,$K$23)</f>
        <v>1.1160726407603089E-2</v>
      </c>
      <c r="H42" cm="1">
        <f t="array" ref="H42" xml:space="preserve"> CallGamma($B$14,A42,$H$22,H6,$H$20,$K$23)</f>
        <v>6.7809255352953724E-3</v>
      </c>
    </row>
    <row r="43" spans="1:21" x14ac:dyDescent="0.25">
      <c r="A43" s="2" t="s">
        <v>575</v>
      </c>
      <c r="B43" cm="1">
        <f t="array" ref="B43" xml:space="preserve"> CallGamma($B$14,A43,$B$22,B7,$B$20,$K$23)</f>
        <v>4.2909249025218241E-2</v>
      </c>
      <c r="C43" cm="1">
        <f t="array" ref="C43" xml:space="preserve"> CallGamma($B$14,A43,$C$22,C7,$C$20,$K$23)</f>
        <v>4.2127436673325566E-2</v>
      </c>
      <c r="D43" cm="1">
        <f t="array" ref="D43" xml:space="preserve"> CallGamma($B$14,A43,$D$22,D7,$D$20,$K$23)</f>
        <v>2.5807909717471739E-2</v>
      </c>
      <c r="E43" cm="1">
        <f t="array" ref="E43" xml:space="preserve"> CallGamma($B$14,A43,$E$22,E7,$E$20,$K$23)</f>
        <v>2.2112363941548255E-2</v>
      </c>
      <c r="F43" cm="1">
        <f t="array" ref="F43" xml:space="preserve"> CallGamma($B$14,A43,$F$22,F7,$F$20,$K$23)</f>
        <v>1.9305792562623995E-2</v>
      </c>
      <c r="G43" cm="1">
        <f t="array" ref="G43" xml:space="preserve"> CallGamma($B$14,A43,$G$22,G7,$G$20,$K$23)</f>
        <v>1.1637221488073753E-2</v>
      </c>
      <c r="H43" cm="1">
        <f t="array" ref="H43" xml:space="preserve"> CallGamma($B$14,A43,$H$22,H7,$H$20,$K$23)</f>
        <v>7.0853615727392034E-3</v>
      </c>
    </row>
    <row r="44" spans="1:21" x14ac:dyDescent="0.25">
      <c r="A44" s="2" t="s">
        <v>576</v>
      </c>
      <c r="B44" cm="1">
        <f t="array" ref="B44" xml:space="preserve"> CallGamma($B$14,A44,$B$22,B8,$B$20,$K$23)</f>
        <v>2.1134849354907791E-2</v>
      </c>
      <c r="C44" cm="1">
        <f t="array" ref="C44" xml:space="preserve"> CallGamma($B$14,A44,$C$22,C8,$C$20,$K$23)</f>
        <v>2.3128444960238151E-2</v>
      </c>
      <c r="D44" cm="1">
        <f t="array" ref="D44" xml:space="preserve"> CallGamma($B$14,A44,$D$22,D8,$D$20,$K$23)</f>
        <v>2.2319681242039188E-2</v>
      </c>
      <c r="E44" cm="1">
        <f t="array" ref="E44" xml:space="preserve"> CallGamma($B$14,A44,$E$22,E8,$E$20,$K$23)</f>
        <v>2.0297133162259357E-2</v>
      </c>
      <c r="F44" cm="1">
        <f t="array" ref="F44" xml:space="preserve"> CallGamma($B$14,A44,$F$22,F8,$F$20,$K$23)</f>
        <v>1.8436037708276457E-2</v>
      </c>
      <c r="G44" cm="1">
        <f t="array" ref="G44" xml:space="preserve"> CallGamma($B$14,A44,$G$22,G8,$G$20,$K$23)</f>
        <v>1.1803929326958017E-2</v>
      </c>
      <c r="H44" cm="1">
        <f t="array" ref="H44" xml:space="preserve"> CallGamma($B$14,A44,$H$22,H8,$H$20,$K$23)</f>
        <v>7.9562392267182435E-3</v>
      </c>
    </row>
    <row r="45" spans="1:21" x14ac:dyDescent="0.25">
      <c r="A45" s="2" t="s">
        <v>577</v>
      </c>
      <c r="B45" cm="1">
        <f t="array" ref="B45" xml:space="preserve"> CallGamma($B$14,A45,$B$22,B9,$B$20,$K$23)</f>
        <v>1.2627844885677551E-2</v>
      </c>
      <c r="C45" cm="1">
        <f t="array" ref="C45" xml:space="preserve"> CallGamma($B$14,A45,$C$22,C9,$C$20,$K$23)</f>
        <v>1.3613858955728657E-2</v>
      </c>
      <c r="D45" cm="1">
        <f t="array" ref="D45" xml:space="preserve"> CallGamma($B$14,A45,$D$22,D9,$D$20,$K$23)</f>
        <v>1.7998200658298349E-2</v>
      </c>
      <c r="E45" cm="1">
        <f t="array" ref="E45" xml:space="preserve"> CallGamma($B$14,A45,$E$22,E9,$E$20,$K$23)</f>
        <v>1.7494272029281673E-2</v>
      </c>
      <c r="F45" cm="1">
        <f t="array" ref="F45" xml:space="preserve"> CallGamma($B$14,A45,$F$22,F9,$F$20,$K$23)</f>
        <v>1.6637527868782677E-2</v>
      </c>
      <c r="G45" cm="1">
        <f t="array" ref="G45" xml:space="preserve"> CallGamma($B$14,A45,$G$22,G9,$G$20,$K$23)</f>
        <v>1.1735443127703317E-2</v>
      </c>
      <c r="H45" cm="1">
        <f t="array" ref="H45" xml:space="preserve"> CallGamma($B$14,A45,$H$22,H9,$H$20,$K$23)</f>
        <v>7.3948213681109829E-3</v>
      </c>
    </row>
    <row r="46" spans="1:21" x14ac:dyDescent="0.25">
      <c r="A46" s="2" t="s">
        <v>578</v>
      </c>
      <c r="B46" cm="1">
        <f t="array" ref="B46" xml:space="preserve"> CallGamma($B$14,A46,$B$22,B10,$B$20,$K$23)</f>
        <v>9.4347622020952548E-3</v>
      </c>
      <c r="C46" cm="1">
        <f t="array" ref="C46" xml:space="preserve"> CallGamma($B$14,A46,$C$22,C10,$C$20,$K$23)</f>
        <v>9.8181645918922027E-3</v>
      </c>
      <c r="D46" cm="1">
        <f t="array" ref="D46" xml:space="preserve"> CallGamma($B$14,A46,$D$22,D10,$D$20,$K$23)</f>
        <v>1.3862914631911428E-2</v>
      </c>
      <c r="E46" cm="1">
        <f t="array" ref="E46" xml:space="preserve"> CallGamma($B$14,A46,$E$22,E10,$E$20,$K$23)</f>
        <v>1.4428675041801849E-2</v>
      </c>
      <c r="F46" cm="1">
        <f t="array" ref="F46" xml:space="preserve"> CallGamma($B$14,A46,$F$22,F10,$F$20,$K$23)</f>
        <v>1.4482937782714683E-2</v>
      </c>
      <c r="G46" cm="1">
        <f t="array" ref="G46" xml:space="preserve"> CallGamma($B$14,A46,$G$22,G10,$G$20,$K$23)</f>
        <v>1.1394022645413926E-2</v>
      </c>
      <c r="H46" cm="1">
        <f t="array" ref="H46" xml:space="preserve"> CallGamma($B$14,A46,$H$22,H10,$H$20,$K$23)</f>
        <v>7.6498329900948252E-3</v>
      </c>
    </row>
    <row r="47" spans="1:21" x14ac:dyDescent="0.25">
      <c r="A47" s="2" t="s">
        <v>579</v>
      </c>
      <c r="B47" cm="1">
        <f t="array" ref="B47" xml:space="preserve"> CallGamma($B$14,A47,$B$22,B11,$B$20,$K$23)</f>
        <v>7.822888809674718E-3</v>
      </c>
      <c r="C47" cm="1">
        <f t="array" ref="C47" xml:space="preserve"> CallGamma($B$14,A47,$C$22,C11,$C$20,$K$23)</f>
        <v>5.4548066439988104E-3</v>
      </c>
      <c r="D47" cm="1">
        <f t="array" ref="D47" xml:space="preserve"> CallGamma($B$14,A47,$D$22,D11,$D$20,$K$23)</f>
        <v>1.0461902678947376E-2</v>
      </c>
      <c r="E47" cm="1">
        <f t="array" ref="E47" xml:space="preserve"> CallGamma($B$14,A47,$E$22,E11,$E$20,$K$23)</f>
        <v>1.1618322260472788E-2</v>
      </c>
      <c r="F47" cm="1">
        <f t="array" ref="F47" xml:space="preserve"> CallGamma($B$14,A47,$F$22,F11,$F$20,$K$23)</f>
        <v>1.2185671171294078E-2</v>
      </c>
      <c r="G47" cm="1">
        <f t="array" ref="G47" xml:space="preserve"> CallGamma($B$14,A47,$G$22,G11,$G$20,$K$23)</f>
        <v>1.0863678587444459E-2</v>
      </c>
      <c r="H47" cm="1">
        <f t="array" ref="H47" xml:space="preserve"> CallGamma($B$14,A47,$H$22,H11,$H$20,$K$23)</f>
        <v>7.706096575569938E-3</v>
      </c>
    </row>
    <row r="48" spans="1:21" x14ac:dyDescent="0.25">
      <c r="A48" s="2" t="s">
        <v>580</v>
      </c>
      <c r="B48" cm="1">
        <f t="array" ref="B48" xml:space="preserve"> CallGamma($B$14,A48,$B$22,B12,$B$20,$K$23)</f>
        <v>8.6879586348518074E-3</v>
      </c>
      <c r="C48" cm="1">
        <f t="array" ref="C48" xml:space="preserve"> CallGamma($B$14,A48,$C$22,C12,$C$20,$K$23)</f>
        <v>4.5332354579439536E-3</v>
      </c>
      <c r="D48" cm="1">
        <f t="array" ref="D48" xml:space="preserve"> CallGamma($B$14,A48,$D$22,D12,$D$20,$K$23)</f>
        <v>7.6981610165720278E-3</v>
      </c>
      <c r="E48" cm="1">
        <f t="array" ref="E48" xml:space="preserve"> CallGamma($B$14,A48,$E$22,E12,$E$20,$K$23)</f>
        <v>9.2458322157060926E-3</v>
      </c>
      <c r="F48" cm="1">
        <f t="array" ref="F48" xml:space="preserve"> CallGamma($B$14,A48,$F$22,F12,$F$20,$K$23)</f>
        <v>9.9368532209393422E-3</v>
      </c>
      <c r="G48" cm="1">
        <f t="array" ref="G48" xml:space="preserve"> CallGamma($B$14,A48,$G$22,G12,$G$20,$K$23)</f>
        <v>1.0271412899353216E-2</v>
      </c>
      <c r="H48" cm="1">
        <f t="array" ref="H48" xml:space="preserve"> CallGamma($B$14,A48,$H$22,H12,$H$20,$K$23)</f>
        <v>7.6998504960923142E-3</v>
      </c>
    </row>
    <row r="50" spans="1:8" x14ac:dyDescent="0.25">
      <c r="A50" s="2" t="s">
        <v>602</v>
      </c>
    </row>
    <row r="52" spans="1:8" x14ac:dyDescent="0.25">
      <c r="B52">
        <v>1.5873015873015872E-2</v>
      </c>
      <c r="C52">
        <v>3.1746031746031744E-2</v>
      </c>
      <c r="D52">
        <v>0.13492063492063491</v>
      </c>
      <c r="E52">
        <v>0.21428571428571427</v>
      </c>
      <c r="F52">
        <v>0.29365079365079366</v>
      </c>
      <c r="G52">
        <v>0.82936507936507942</v>
      </c>
      <c r="H52">
        <v>1.8611111111111112</v>
      </c>
    </row>
    <row r="53" spans="1:8" x14ac:dyDescent="0.25">
      <c r="A53" s="2" t="s">
        <v>570</v>
      </c>
      <c r="B53" cm="1">
        <f t="array" ref="B53" xml:space="preserve"> CallRho($B$14,A53,$B$22,B2,$B$20,$K$23)</f>
        <v>0.66056758413754479</v>
      </c>
      <c r="C53" cm="1">
        <f t="array" ref="C53" xml:space="preserve"> CallRho($B$14,A53,$C$22,C2,$C$20,$K$23)</f>
        <v>1.8551587443624948</v>
      </c>
      <c r="D53" cm="1">
        <f t="array" ref="D53" xml:space="preserve"> CallRho($B$14,A53,$D$22,D2,$D$20,$K$23)</f>
        <v>7.5163155420654055</v>
      </c>
      <c r="E53" cm="1">
        <f t="array" ref="E53" xml:space="preserve"> CallRho($B$14,A53,$E$22,E2,$E$20,$K$23)</f>
        <v>11.506368446740483</v>
      </c>
      <c r="F53" cm="1">
        <f t="array" ref="F53" xml:space="preserve"> CallRho($B$14,A53,$F$22,F2,$F$20,$K$23)</f>
        <v>15.119824820397495</v>
      </c>
      <c r="G53" cm="1">
        <f t="array" ref="G53" xml:space="preserve"> CallRho($B$14,A53,$G$22,G2,$G$20,$K$23)</f>
        <v>34.453648028513392</v>
      </c>
      <c r="H53" cm="1">
        <f t="array" ref="H53" xml:space="preserve"> CallRho($B$14,A53,$H$22,H2,$H$20,$K$23)</f>
        <v>62.082694604666322</v>
      </c>
    </row>
    <row r="54" spans="1:8" x14ac:dyDescent="0.25">
      <c r="A54" s="2" t="s">
        <v>572</v>
      </c>
      <c r="B54" cm="1">
        <f t="array" ref="B54" xml:space="preserve"> CallRho($B$14,A54,$B$22,B3,$B$20,$K$23)</f>
        <v>1.0546918019596503</v>
      </c>
      <c r="C54" cm="1">
        <f t="array" ref="C54" xml:space="preserve"> CallRho($B$14,A54,$C$22,C3,$C$20,$K$23)</f>
        <v>2.1493138754993213</v>
      </c>
      <c r="D54" cm="1">
        <f t="array" ref="D54" xml:space="preserve"> CallRho($B$14,A54,$D$22,D3,$D$20,$K$23)</f>
        <v>7.6491939492782235</v>
      </c>
      <c r="E54" cm="1">
        <f t="array" ref="E54" xml:space="preserve"> CallRho($B$14,A54,$E$22,E3,$E$20,$K$23)</f>
        <v>11.281632771715572</v>
      </c>
      <c r="F54" cm="1">
        <f t="array" ref="F54" xml:space="preserve"> CallRho($B$14,A54,$F$22,F3,$F$20,$K$23)</f>
        <v>14.599448477257191</v>
      </c>
      <c r="G54" cm="1">
        <f t="array" ref="G54" xml:space="preserve"> CallRho($B$14,A54,$G$22,G3,$G$20,$K$23)</f>
        <v>33.538159174353893</v>
      </c>
      <c r="H54" cm="1">
        <f t="array" ref="H54" xml:space="preserve"> CallRho($B$14,A54,$H$22,H3,$H$20,$K$23)</f>
        <v>61.696708620610458</v>
      </c>
    </row>
    <row r="55" spans="1:8" x14ac:dyDescent="0.25">
      <c r="A55" s="2" t="s">
        <v>573</v>
      </c>
      <c r="B55" cm="1">
        <f t="array" ref="B55" xml:space="preserve"> CallRho($B$14,A55,$B$22,B4,$B$20,$K$23)</f>
        <v>1.1266047265672856</v>
      </c>
      <c r="C55" cm="1">
        <f t="array" ref="C55" xml:space="preserve"> CallRho($B$14,A55,$C$22,C4,$C$20,$K$23)</f>
        <v>2.1738386232299272</v>
      </c>
      <c r="D55" cm="1">
        <f t="array" ref="D55" xml:space="preserve"> CallRho($B$14,A55,$D$22,D4,$D$20,$K$23)</f>
        <v>7.0733750680024219</v>
      </c>
      <c r="E55" cm="1">
        <f t="array" ref="E55" xml:space="preserve"> CallRho($B$14,A55,$E$22,E4,$E$20,$K$23)</f>
        <v>10.561378925931143</v>
      </c>
      <c r="F55" cm="1">
        <f t="array" ref="F55" xml:space="preserve"> CallRho($B$14,A55,$F$22,F4,$F$20,$K$23)</f>
        <v>13.754171187168156</v>
      </c>
      <c r="G55" cm="1">
        <f t="array" ref="G55" xml:space="preserve"> CallRho($B$14,A55,$G$22,G4,$G$20,$K$23)</f>
        <v>32.569435350630435</v>
      </c>
      <c r="H55" cm="1">
        <f t="array" ref="H55" xml:space="preserve"> CallRho($B$14,A55,$H$22,H4,$H$20,$K$23)</f>
        <v>61.416434933168397</v>
      </c>
    </row>
    <row r="56" spans="1:8" x14ac:dyDescent="0.25">
      <c r="A56" s="2" t="s">
        <v>574</v>
      </c>
      <c r="B56" cm="1">
        <f t="array" ref="B56" xml:space="preserve"> CallRho($B$14,A56,$B$22,B5,$B$20,$K$23)</f>
        <v>1.0423435336212974</v>
      </c>
      <c r="C56" cm="1">
        <f t="array" ref="C56" xml:space="preserve"> CallRho($B$14,A56,$C$22,C5,$C$20,$K$23)</f>
        <v>1.8635400398502171</v>
      </c>
      <c r="D56" cm="1">
        <f t="array" ref="D56" xml:space="preserve"> CallRho($B$14,A56,$D$22,D5,$D$20,$K$23)</f>
        <v>6.1754757638289579</v>
      </c>
      <c r="E56" cm="1">
        <f t="array" ref="E56" xml:space="preserve"> CallRho($B$14,A56,$E$22,E5,$E$20,$K$23)</f>
        <v>9.3975761583288975</v>
      </c>
      <c r="F56" cm="1">
        <f t="array" ref="F56" xml:space="preserve"> CallRho($B$14,A56,$F$22,F5,$F$20,$K$23)</f>
        <v>12.454597744805666</v>
      </c>
      <c r="G56" cm="1">
        <f t="array" ref="G56" xml:space="preserve"> CallRho($B$14,A56,$G$22,G5,$G$20,$K$23)</f>
        <v>31.050164117910455</v>
      </c>
      <c r="H56" cm="1">
        <f t="array" ref="H56" xml:space="preserve"> CallRho($B$14,A56,$H$22,H5,$H$20,$K$23)</f>
        <v>60.581379414362338</v>
      </c>
    </row>
    <row r="57" spans="1:8" x14ac:dyDescent="0.25">
      <c r="A57" s="2" t="s">
        <v>571</v>
      </c>
      <c r="B57" cm="1">
        <f t="array" ref="B57" xml:space="preserve"> CallRho($B$14,A57,$B$22,B6,$B$20,$K$23)</f>
        <v>0.54208701421936356</v>
      </c>
      <c r="C57" cm="1">
        <f t="array" ref="C57" xml:space="preserve"> CallRho($B$14,A57,$C$22,C6,$C$20,$K$23)</f>
        <v>1.1360049132028236</v>
      </c>
      <c r="D57" cm="1">
        <f t="array" ref="D57" xml:space="preserve"> CallRho($B$14,A57,$D$22,D6,$D$20,$K$23)</f>
        <v>5.0406246068279206</v>
      </c>
      <c r="E57" cm="1">
        <f t="array" ref="E57" xml:space="preserve"> CallRho($B$14,A57,$E$22,E6,$E$20,$K$23)</f>
        <v>7.975326317069829</v>
      </c>
      <c r="F57" cm="1">
        <f t="array" ref="F57" xml:space="preserve"> CallRho($B$14,A57,$F$22,F6,$F$20,$K$23)</f>
        <v>10.885599086845088</v>
      </c>
      <c r="G57" cm="1">
        <f t="array" ref="G57" xml:space="preserve"> CallRho($B$14,A57,$G$22,G6,$G$20,$K$23)</f>
        <v>29.151968828710501</v>
      </c>
      <c r="H57" cm="1">
        <f t="array" ref="H57" xml:space="preserve"> CallRho($B$14,A57,$H$22,H6,$H$20,$K$23)</f>
        <v>59.336374873123589</v>
      </c>
    </row>
    <row r="58" spans="1:8" x14ac:dyDescent="0.25">
      <c r="A58" s="2" t="s">
        <v>575</v>
      </c>
      <c r="B58" cm="1">
        <f t="array" ref="B58" xml:space="preserve"> CallRho($B$14,A58,$B$22,B7,$B$20,$K$23)</f>
        <v>0.19875666092865846</v>
      </c>
      <c r="C58" cm="1">
        <f t="array" ref="C58" xml:space="preserve"> CallRho($B$14,A58,$C$22,C7,$C$20,$K$23)</f>
        <v>0.53067864980557478</v>
      </c>
      <c r="D58" cm="1">
        <f t="array" ref="D58" xml:space="preserve"> CallRho($B$14,A58,$D$22,D7,$D$20,$K$23)</f>
        <v>3.8479997643564312</v>
      </c>
      <c r="E58" cm="1">
        <f t="array" ref="E58" xml:space="preserve"> CallRho($B$14,A58,$E$22,E7,$E$20,$K$23)</f>
        <v>6.4489223205711337</v>
      </c>
      <c r="F58" cm="1">
        <f t="array" ref="F58" xml:space="preserve"> CallRho($B$14,A58,$F$22,F7,$F$20,$K$23)</f>
        <v>9.1618598168737435</v>
      </c>
      <c r="G58" cm="1">
        <f t="array" ref="G58" xml:space="preserve"> CallRho($B$14,A58,$G$22,G7,$G$20,$K$23)</f>
        <v>27.027330367611235</v>
      </c>
      <c r="H58" cm="1">
        <f t="array" ref="H58" xml:space="preserve"> CallRho($B$14,A58,$H$22,H7,$H$20,$K$23)</f>
        <v>57.7371405628801</v>
      </c>
    </row>
    <row r="59" spans="1:8" x14ac:dyDescent="0.25">
      <c r="A59" s="2" t="s">
        <v>576</v>
      </c>
      <c r="B59" cm="1">
        <f t="array" ref="B59" xml:space="preserve"> CallRho($B$14,A59,$B$22,B8,$B$20,$K$23)</f>
        <v>0.1071695978934047</v>
      </c>
      <c r="C59" cm="1">
        <f t="array" ref="C59" xml:space="preserve"> CallRho($B$14,A59,$C$22,C8,$C$20,$K$23)</f>
        <v>0.27832688740255701</v>
      </c>
      <c r="D59" cm="1">
        <f t="array" ref="D59" xml:space="preserve"> CallRho($B$14,A59,$D$22,D8,$D$20,$K$23)</f>
        <v>2.8041888484434416</v>
      </c>
      <c r="E59" cm="1">
        <f t="array" ref="E59" xml:space="preserve"> CallRho($B$14,A59,$E$22,E8,$E$20,$K$23)</f>
        <v>5.0068251918608491</v>
      </c>
      <c r="F59" cm="1">
        <f t="array" ref="F59" xml:space="preserve"> CallRho($B$14,A59,$F$22,F8,$F$20,$K$23)</f>
        <v>7.4536990231438756</v>
      </c>
      <c r="G59" cm="1">
        <f t="array" ref="G59" xml:space="preserve"> CallRho($B$14,A59,$G$22,G8,$G$20,$K$23)</f>
        <v>24.715951079351683</v>
      </c>
      <c r="H59" cm="1">
        <f t="array" ref="H59" xml:space="preserve"> CallRho($B$14,A59,$H$22,H8,$H$20,$K$23)</f>
        <v>56.732437984917283</v>
      </c>
    </row>
    <row r="60" spans="1:8" x14ac:dyDescent="0.25">
      <c r="A60" s="2" t="s">
        <v>577</v>
      </c>
      <c r="B60" cm="1">
        <f t="array" ref="B60" xml:space="preserve"> CallRho($B$14,A60,$B$22,B9,$B$20,$K$23)</f>
        <v>7.1287413761772653E-2</v>
      </c>
      <c r="C60" cm="1">
        <f t="array" ref="C60" xml:space="preserve"> CallRho($B$14,A60,$C$22,C9,$C$20,$K$23)</f>
        <v>0.1659966025471549</v>
      </c>
      <c r="D60" cm="1">
        <f t="array" ref="D60" xml:space="preserve"> CallRho($B$14,A60,$D$22,D9,$D$20,$K$23)</f>
        <v>1.9966435755642418</v>
      </c>
      <c r="E60" cm="1">
        <f t="array" ref="E60" xml:space="preserve"> CallRho($B$14,A60,$E$22,E9,$E$20,$K$23)</f>
        <v>3.7788932693900419</v>
      </c>
      <c r="F60" cm="1">
        <f t="array" ref="F60" xml:space="preserve"> CallRho($B$14,A60,$F$22,F9,$F$20,$K$23)</f>
        <v>5.9199513237011239</v>
      </c>
      <c r="G60" cm="1">
        <f t="array" ref="G60" xml:space="preserve"> CallRho($B$14,A60,$G$22,G9,$G$20,$K$23)</f>
        <v>22.338806980076146</v>
      </c>
      <c r="H60" cm="1">
        <f t="array" ref="H60" xml:space="preserve"> CallRho($B$14,A60,$H$22,H9,$H$20,$K$23)</f>
        <v>53.68744195687367</v>
      </c>
    </row>
    <row r="61" spans="1:8" x14ac:dyDescent="0.25">
      <c r="A61" s="2" t="s">
        <v>578</v>
      </c>
      <c r="B61" cm="1">
        <f t="array" ref="B61" xml:space="preserve"> CallRho($B$14,A61,$B$22,B10,$B$20,$K$23)</f>
        <v>6.359289766514685E-2</v>
      </c>
      <c r="C61" cm="1">
        <f t="array" ref="C61" xml:space="preserve"> CallRho($B$14,A61,$C$22,C10,$C$20,$K$23)</f>
        <v>0.13699132493493454</v>
      </c>
      <c r="D61" cm="1">
        <f t="array" ref="D61" xml:space="preserve"> CallRho($B$14,A61,$D$22,D10,$D$20,$K$23)</f>
        <v>1.3746632528464691</v>
      </c>
      <c r="E61" cm="1">
        <f t="array" ref="E61" xml:space="preserve"> CallRho($B$14,A61,$E$22,E10,$E$20,$K$23)</f>
        <v>2.8249756502898031</v>
      </c>
      <c r="F61" cm="1">
        <f t="array" ref="F61" xml:space="preserve"> CallRho($B$14,A61,$F$22,F10,$F$20,$K$23)</f>
        <v>4.4938799636496674</v>
      </c>
      <c r="G61" cm="1">
        <f t="array" ref="G61" xml:space="preserve"> CallRho($B$14,A61,$G$22,G10,$G$20,$K$23)</f>
        <v>20.036383250332506</v>
      </c>
      <c r="H61" cm="1">
        <f t="array" ref="H61" xml:space="preserve"> CallRho($B$14,A61,$H$22,H10,$H$20,$K$23)</f>
        <v>51.56633602649908</v>
      </c>
    </row>
    <row r="62" spans="1:8" x14ac:dyDescent="0.25">
      <c r="A62" s="2" t="s">
        <v>579</v>
      </c>
      <c r="B62" cm="1">
        <f t="array" ref="B62" xml:space="preserve"> CallRho($B$14,A62,$B$22,B11,$B$20,$K$23)</f>
        <v>6.2261212181016198E-2</v>
      </c>
      <c r="C62" cm="1">
        <f t="array" ref="C62" xml:space="preserve"> CallRho($B$14,A62,$C$22,C11,$C$20,$K$23)</f>
        <v>6.7777839105203838E-2</v>
      </c>
      <c r="D62" cm="1">
        <f t="array" ref="D62" xml:space="preserve"> CallRho($B$14,A62,$D$22,D11,$D$20,$K$23)</f>
        <v>0.9704364952058957</v>
      </c>
      <c r="E62" cm="1">
        <f t="array" ref="E62" xml:space="preserve"> CallRho($B$14,A62,$E$22,E11,$E$20,$K$23)</f>
        <v>2.1141155606420239</v>
      </c>
      <c r="F62" cm="1">
        <f t="array" ref="F62" xml:space="preserve"> CallRho($B$14,A62,$F$22,F11,$F$20,$K$23)</f>
        <v>3.635778735488739</v>
      </c>
      <c r="G62" cm="1">
        <f t="array" ref="G62" xml:space="preserve"> CallRho($B$14,A62,$G$22,G11,$G$20,$K$23)</f>
        <v>17.912501826391399</v>
      </c>
      <c r="H62" cm="1">
        <f t="array" ref="H62" xml:space="preserve"> CallRho($B$14,A62,$H$22,H11,$H$20,$K$23)</f>
        <v>49.217536087800056</v>
      </c>
    </row>
    <row r="63" spans="1:8" x14ac:dyDescent="0.25">
      <c r="A63" s="2" t="s">
        <v>580</v>
      </c>
      <c r="B63" cm="1">
        <f t="array" ref="B63" xml:space="preserve"> CallRho($B$14,A63,$B$22,B12,$B$20,$K$23)</f>
        <v>0.10237203933845428</v>
      </c>
      <c r="C63" cm="1">
        <f t="array" ref="C63" xml:space="preserve"> CallRho($B$14,A63,$C$22,C12,$C$20,$K$23)</f>
        <v>6.3405942559243228E-2</v>
      </c>
      <c r="D63" cm="1">
        <f t="array" ref="D63" xml:space="preserve"> CallRho($B$14,A63,$D$22,D12,$D$20,$K$23)</f>
        <v>0.66617865426201694</v>
      </c>
      <c r="E63" cm="1">
        <f t="array" ref="E63" xml:space="preserve"> CallRho($B$14,A63,$E$22,E12,$E$20,$K$23)</f>
        <v>1.5895589105321364</v>
      </c>
      <c r="F63" cm="1">
        <f t="array" ref="F63" xml:space="preserve"> CallRho($B$14,A63,$F$22,F12,$F$20,$K$23)</f>
        <v>2.6449198504266591</v>
      </c>
      <c r="G63" cm="1">
        <f t="array" ref="G63" xml:space="preserve"> CallRho($B$14,A63,$G$22,G12,$G$20,$K$23)</f>
        <v>15.89512091946705</v>
      </c>
      <c r="H63" cm="1">
        <f t="array" ref="H63" xml:space="preserve"> CallRho($B$14,A63,$H$22,H12,$H$20,$K$23)</f>
        <v>46.825110047591018</v>
      </c>
    </row>
    <row r="65" spans="1:8" x14ac:dyDescent="0.25">
      <c r="A65" s="2" t="s">
        <v>603</v>
      </c>
    </row>
    <row r="67" spans="1:8" x14ac:dyDescent="0.25">
      <c r="B67">
        <v>1.5873015873015872E-2</v>
      </c>
      <c r="C67">
        <v>3.1746031746031744E-2</v>
      </c>
      <c r="D67">
        <v>0.13492063492063491</v>
      </c>
      <c r="E67">
        <v>0.21428571428571427</v>
      </c>
      <c r="F67">
        <v>0.29365079365079366</v>
      </c>
      <c r="G67">
        <v>0.82936507936507942</v>
      </c>
      <c r="H67">
        <v>1.8611111111111112</v>
      </c>
    </row>
    <row r="68" spans="1:8" x14ac:dyDescent="0.25">
      <c r="A68" s="2" t="s">
        <v>570</v>
      </c>
      <c r="B68" cm="1">
        <f t="array" ref="B68" xml:space="preserve"> CallTheta($B$14,A68,$B$22,B2,$B$20,$K$23)</f>
        <v>-303.68519714764949</v>
      </c>
      <c r="C68" cm="1">
        <f t="array" ref="C68" xml:space="preserve"> CallTheta($B$14,A68,$C$22,C2,$C$20,$K$23)</f>
        <v>-9.9355925963029073</v>
      </c>
      <c r="D68" cm="1">
        <f t="array" ref="D68" xml:space="preserve"> CallTheta($B$14,A68,$D$22,D2,$D$20,$K$23)</f>
        <v>-6.9214687214798083</v>
      </c>
      <c r="E68" cm="1">
        <f t="array" ref="E68" xml:space="preserve"> CallTheta($B$14,A68,$E$22,E2,$E$20,$K$23)</f>
        <v>-6.6455526462273582</v>
      </c>
      <c r="F68" cm="1">
        <f t="array" ref="F68" xml:space="preserve"> CallTheta($B$14,A68,$F$22,F2,$F$20,$K$23)</f>
        <v>-6.9352071469979215</v>
      </c>
      <c r="G68" cm="1">
        <f t="array" ref="G68" xml:space="preserve"> CallTheta($B$14,A68,$G$22,G2,$G$20,$K$23)</f>
        <v>-6.4041137127975603</v>
      </c>
      <c r="H68" cm="1">
        <f t="array" ref="H68" xml:space="preserve"> CallTheta($B$14,A68,$H$22,H2,$H$20,$K$23)</f>
        <v>-5.0193341310596153</v>
      </c>
    </row>
    <row r="69" spans="1:8" x14ac:dyDescent="0.25">
      <c r="A69" s="2" t="s">
        <v>572</v>
      </c>
      <c r="B69" cm="1">
        <f t="array" ref="B69" xml:space="preserve"> CallTheta($B$14,A69,$B$22,B3,$B$20,$K$23)</f>
        <v>-25.335465292011744</v>
      </c>
      <c r="C69" cm="1">
        <f t="array" ref="C69" xml:space="preserve"> CallTheta($B$14,A69,$C$22,C3,$C$20,$K$23)</f>
        <v>-8.3629789837338961</v>
      </c>
      <c r="D69" cm="1">
        <f t="array" ref="D69" xml:space="preserve"> CallTheta($B$14,A69,$D$22,D3,$D$20,$K$23)</f>
        <v>-13.704973414948183</v>
      </c>
      <c r="E69" cm="1">
        <f t="array" ref="E69" xml:space="preserve"> CallTheta($B$14,A69,$E$22,E3,$E$20,$K$23)</f>
        <v>-12.315545251199039</v>
      </c>
      <c r="F69" cm="1">
        <f t="array" ref="F69" xml:space="preserve"> CallTheta($B$14,A69,$F$22,F3,$F$20,$K$23)</f>
        <v>-11.47679578920337</v>
      </c>
      <c r="G69" cm="1">
        <f t="array" ref="G69" xml:space="preserve"> CallTheta($B$14,A69,$G$22,G3,$G$20,$K$23)</f>
        <v>-7.9245361340038576</v>
      </c>
      <c r="H69" cm="1">
        <f t="array" ref="H69" xml:space="preserve"> CallTheta($B$14,A69,$H$22,H3,$H$20,$K$23)</f>
        <v>-5.7797045555208371</v>
      </c>
    </row>
    <row r="70" spans="1:8" x14ac:dyDescent="0.25">
      <c r="A70" s="2" t="s">
        <v>573</v>
      </c>
      <c r="B70" cm="1">
        <f t="array" ref="B70" xml:space="preserve"> CallTheta($B$14,A70,$B$22,B4,$B$20,$K$23)</f>
        <v>-18.333442336630124</v>
      </c>
      <c r="C70" cm="1">
        <f t="array" ref="C70" xml:space="preserve"> CallTheta($B$14,A70,$C$22,C4,$C$20,$K$23)</f>
        <v>-15.716005023376011</v>
      </c>
      <c r="D70" cm="1">
        <f t="array" ref="D70" xml:space="preserve"> CallTheta($B$14,A70,$D$22,D4,$D$20,$K$23)</f>
        <v>-18.369805435143185</v>
      </c>
      <c r="E70" cm="1">
        <f t="array" ref="E70" xml:space="preserve"> CallTheta($B$14,A70,$E$22,E4,$E$20,$K$23)</f>
        <v>-14.67268098099499</v>
      </c>
      <c r="F70" cm="1">
        <f t="array" ref="F70" xml:space="preserve"> CallTheta($B$14,A70,$F$22,F4,$F$20,$K$23)</f>
        <v>-13.062590636477594</v>
      </c>
      <c r="G70" cm="1">
        <f t="array" ref="G70" xml:space="preserve"> CallTheta($B$14,A70,$G$22,G4,$G$20,$K$23)</f>
        <v>-8.3422194597975423</v>
      </c>
      <c r="H70" cm="1">
        <f t="array" ref="H70" xml:space="preserve"> CallTheta($B$14,A70,$H$22,H4,$H$20,$K$23)</f>
        <v>-5.995291462507832</v>
      </c>
    </row>
    <row r="71" spans="1:8" x14ac:dyDescent="0.25">
      <c r="A71" s="2" t="s">
        <v>574</v>
      </c>
      <c r="B71" cm="1">
        <f t="array" ref="B71" xml:space="preserve"> CallTheta($B$14,A71,$B$22,B5,$B$20,$K$23)</f>
        <v>-34.434820659923183</v>
      </c>
      <c r="C71" cm="1">
        <f t="array" ref="C71" xml:space="preserve"> CallTheta($B$14,A71,$C$22,C5,$C$20,$K$23)</f>
        <v>-30.938800398609178</v>
      </c>
      <c r="D71" cm="1">
        <f t="array" ref="D71" xml:space="preserve"> CallTheta($B$14,A71,$D$22,D5,$D$20,$K$23)</f>
        <v>-21.455322595566336</v>
      </c>
      <c r="E71" cm="1">
        <f t="array" ref="E71" xml:space="preserve"> CallTheta($B$14,A71,$E$22,E5,$E$20,$K$23)</f>
        <v>-16.421938378531948</v>
      </c>
      <c r="F71" cm="1">
        <f t="array" ref="F71" xml:space="preserve"> CallTheta($B$14,A71,$F$22,F5,$F$20,$K$23)</f>
        <v>-14.200200782856102</v>
      </c>
      <c r="G71" cm="1">
        <f t="array" ref="G71" xml:space="preserve"> CallTheta($B$14,A71,$G$22,G5,$G$20,$K$23)</f>
        <v>-8.6557904366419756</v>
      </c>
      <c r="H71" cm="1">
        <f t="array" ref="H71" xml:space="preserve"> CallTheta($B$14,A71,$H$22,H5,$H$20,$K$23)</f>
        <v>-6.1696925703120034</v>
      </c>
    </row>
    <row r="72" spans="1:8" x14ac:dyDescent="0.25">
      <c r="A72" s="2" t="s">
        <v>571</v>
      </c>
      <c r="B72" cm="1">
        <f t="array" ref="B72" xml:space="preserve"> CallTheta($B$14,A72,$B$22,B6,$B$20,$K$23)</f>
        <v>-57.275239204609079</v>
      </c>
      <c r="C72" cm="1">
        <f t="array" ref="C72" xml:space="preserve"> CallTheta($B$14,A72,$C$22,C6,$C$20,$K$23)</f>
        <v>-39.142447786534625</v>
      </c>
      <c r="D72" cm="1">
        <f t="array" ref="D72" xml:space="preserve"> CallTheta($B$14,A72,$D$22,D6,$D$20,$K$23)</f>
        <v>-22.319182560802265</v>
      </c>
      <c r="E72" cm="1">
        <f t="array" ref="E72" xml:space="preserve"> CallTheta($B$14,A72,$E$22,E6,$E$20,$K$23)</f>
        <v>-16.870364025012851</v>
      </c>
      <c r="F72" cm="1">
        <f t="array" ref="F72" xml:space="preserve"> CallTheta($B$14,A72,$F$22,F6,$F$20,$K$23)</f>
        <v>-14.427792367025322</v>
      </c>
      <c r="G72" cm="1">
        <f t="array" ref="G72" xml:space="preserve"> CallTheta($B$14,A72,$G$22,G6,$G$20,$K$23)</f>
        <v>-8.824725239968215</v>
      </c>
      <c r="H72" cm="1">
        <f t="array" ref="H72" xml:space="preserve"> CallTheta($B$14,A72,$H$22,H6,$H$20,$K$23)</f>
        <v>-6.2930888295639917</v>
      </c>
    </row>
    <row r="73" spans="1:8" x14ac:dyDescent="0.25">
      <c r="A73" s="2" t="s">
        <v>575</v>
      </c>
      <c r="B73" cm="1">
        <f t="array" ref="B73" xml:space="preserve"> CallTheta($B$14,A73,$B$22,B7,$B$20,$K$23)</f>
        <v>-41.552161139469462</v>
      </c>
      <c r="C73" cm="1">
        <f t="array" ref="C73" xml:space="preserve"> CallTheta($B$14,A73,$C$22,C7,$C$20,$K$23)</f>
        <v>-30.914187019900599</v>
      </c>
      <c r="D73" cm="1">
        <f t="array" ref="D73" xml:space="preserve"> CallTheta($B$14,A73,$D$22,D7,$D$20,$K$23)</f>
        <v>-21.171205919708243</v>
      </c>
      <c r="E73" cm="1">
        <f t="array" ref="E73" xml:space="preserve"> CallTheta($B$14,A73,$E$22,E7,$E$20,$K$23)</f>
        <v>-16.32317179033145</v>
      </c>
      <c r="F73" cm="1">
        <f t="array" ref="F73" xml:space="preserve"> CallTheta($B$14,A73,$F$22,F7,$F$20,$K$23)</f>
        <v>-14.163302547523026</v>
      </c>
      <c r="G73" cm="1">
        <f t="array" ref="G73" xml:space="preserve"> CallTheta($B$14,A73,$G$22,G7,$G$20,$K$23)</f>
        <v>-8.7712989129864827</v>
      </c>
      <c r="H73" cm="1">
        <f t="array" ref="H73" xml:space="preserve"> CallTheta($B$14,A73,$H$22,H7,$H$20,$K$23)</f>
        <v>-6.3703208595024829</v>
      </c>
    </row>
    <row r="74" spans="1:8" x14ac:dyDescent="0.25">
      <c r="A74" s="2" t="s">
        <v>576</v>
      </c>
      <c r="B74" cm="1">
        <f t="array" ref="B74" xml:space="preserve"> CallTheta($B$14,A74,$B$22,B8,$B$20,$K$23)</f>
        <v>-35.274393898274099</v>
      </c>
      <c r="C74" cm="1">
        <f t="array" ref="C74" xml:space="preserve"> CallTheta($B$14,A74,$C$22,C8,$C$20,$K$23)</f>
        <v>-23.943509755622287</v>
      </c>
      <c r="D74" cm="1">
        <f t="array" ref="D74" xml:space="preserve"> CallTheta($B$14,A74,$D$22,D8,$D$20,$K$23)</f>
        <v>-18.697125677380367</v>
      </c>
      <c r="E74" cm="1">
        <f t="array" ref="E74" xml:space="preserve"> CallTheta($B$14,A74,$E$22,E8,$E$20,$K$23)</f>
        <v>-14.805593147940412</v>
      </c>
      <c r="F74" cm="1">
        <f t="array" ref="F74" xml:space="preserve"> CallTheta($B$14,A74,$F$22,F8,$F$20,$K$23)</f>
        <v>-13.088076462238996</v>
      </c>
      <c r="G74" cm="1">
        <f t="array" ref="G74" xml:space="preserve"> CallTheta($B$14,A74,$G$22,G8,$G$20,$K$23)</f>
        <v>-8.6040655970627196</v>
      </c>
      <c r="H74" cm="1">
        <f t="array" ref="H74" xml:space="preserve"> CallTheta($B$14,A74,$H$22,H8,$H$20,$K$23)</f>
        <v>-6.0326116698271699</v>
      </c>
    </row>
    <row r="75" spans="1:8" x14ac:dyDescent="0.25">
      <c r="A75" s="2" t="s">
        <v>577</v>
      </c>
      <c r="B75" cm="1">
        <f t="array" ref="B75" xml:space="preserve"> CallTheta($B$14,A75,$B$22,B9,$B$20,$K$23)</f>
        <v>-31.733255713581016</v>
      </c>
      <c r="C75" cm="1">
        <f t="array" ref="C75" xml:space="preserve"> CallTheta($B$14,A75,$C$22,C9,$C$20,$K$23)</f>
        <v>-18.794020132938112</v>
      </c>
      <c r="D75" cm="1">
        <f t="array" ref="D75" xml:space="preserve"> CallTheta($B$14,A75,$D$22,D9,$D$20,$K$23)</f>
        <v>-15.7237167897138</v>
      </c>
      <c r="E75" cm="1">
        <f t="array" ref="E75" xml:space="preserve"> CallTheta($B$14,A75,$E$22,E9,$E$20,$K$23)</f>
        <v>-12.848168876680251</v>
      </c>
      <c r="F75" cm="1">
        <f t="array" ref="F75" xml:space="preserve"> CallTheta($B$14,A75,$F$22,F9,$F$20,$K$23)</f>
        <v>-11.727012087426335</v>
      </c>
      <c r="G75" cm="1">
        <f t="array" ref="G75" xml:space="preserve"> CallTheta($B$14,A75,$G$22,G9,$G$20,$K$23)</f>
        <v>-8.3009135194022647</v>
      </c>
      <c r="H75" cm="1">
        <f t="array" ref="H75" xml:space="preserve"> CallTheta($B$14,A75,$H$22,H9,$H$20,$K$23)</f>
        <v>-6.4618810169769674</v>
      </c>
    </row>
    <row r="76" spans="1:8" x14ac:dyDescent="0.25">
      <c r="A76" s="2" t="s">
        <v>578</v>
      </c>
      <c r="B76" cm="1">
        <f t="array" ref="B76" xml:space="preserve"> CallTheta($B$14,A76,$B$22,B10,$B$20,$K$23)</f>
        <v>-35.943989317721766</v>
      </c>
      <c r="C76" cm="1">
        <f t="array" ref="C76" xml:space="preserve"> CallTheta($B$14,A76,$C$22,C10,$C$20,$K$23)</f>
        <v>-19.50709396065227</v>
      </c>
      <c r="D76" cm="1">
        <f t="array" ref="D76" xml:space="preserve"> CallTheta($B$14,A76,$D$22,D10,$D$20,$K$23)</f>
        <v>-12.411349150386101</v>
      </c>
      <c r="E76" cm="1">
        <f t="array" ref="E76" xml:space="preserve"> CallTheta($B$14,A76,$E$22,E10,$E$20,$K$23)</f>
        <v>-10.899359608922277</v>
      </c>
      <c r="F76" cm="1">
        <f t="array" ref="F76" xml:space="preserve"> CallTheta($B$14,A76,$F$22,F10,$F$20,$K$23)</f>
        <v>-9.8022536958992816</v>
      </c>
      <c r="G76" cm="1">
        <f t="array" ref="G76" xml:space="preserve"> CallTheta($B$14,A76,$G$22,G10,$G$20,$K$23)</f>
        <v>-7.9551359539281119</v>
      </c>
      <c r="H76" cm="1">
        <f t="array" ref="H76" xml:space="preserve"> CallTheta($B$14,A76,$H$22,H10,$H$20,$K$23)</f>
        <v>-6.3196223032183401</v>
      </c>
    </row>
    <row r="77" spans="1:8" x14ac:dyDescent="0.25">
      <c r="A77" s="2" t="s">
        <v>579</v>
      </c>
      <c r="B77" cm="1">
        <f t="array" ref="B77" xml:space="preserve"> CallTheta($B$14,A77,$B$22,B11,$B$20,$K$23)</f>
        <v>-42.584341770525597</v>
      </c>
      <c r="C77" cm="1">
        <f t="array" ref="C77" xml:space="preserve"> CallTheta($B$14,A77,$C$22,C11,$C$20,$K$23)</f>
        <v>-11.061404990705491</v>
      </c>
      <c r="D77" cm="1">
        <f t="array" ref="D77" xml:space="preserve"> CallTheta($B$14,A77,$D$22,D11,$D$20,$K$23)</f>
        <v>-9.9291173210414172</v>
      </c>
      <c r="E77" cm="1">
        <f t="array" ref="E77" xml:space="preserve"> CallTheta($B$14,A77,$E$22,E11,$E$20,$K$23)</f>
        <v>-9.1308604638334163</v>
      </c>
      <c r="F77" cm="1">
        <f t="array" ref="F77" xml:space="preserve"> CallTheta($B$14,A77,$F$22,F11,$F$20,$K$23)</f>
        <v>-8.9132271568252541</v>
      </c>
      <c r="G77" cm="1">
        <f t="array" ref="G77" xml:space="preserve"> CallTheta($B$14,A77,$G$22,G11,$G$20,$K$23)</f>
        <v>-7.5931798412508602</v>
      </c>
      <c r="H77" cm="1">
        <f t="array" ref="H77" xml:space="preserve"> CallTheta($B$14,A77,$H$22,H11,$H$20,$K$23)</f>
        <v>-6.236108774347521</v>
      </c>
    </row>
    <row r="78" spans="1:8" x14ac:dyDescent="0.25">
      <c r="A78" s="2" t="s">
        <v>580</v>
      </c>
      <c r="B78" cm="1">
        <f t="array" ref="B78" xml:space="preserve"> CallTheta($B$14,A78,$B$22,B12,$B$20,$K$23)</f>
        <v>-86.86016711707147</v>
      </c>
      <c r="C78" cm="1">
        <f t="array" ref="C78" xml:space="preserve"> CallTheta($B$14,A78,$C$22,C12,$C$20,$K$23)</f>
        <v>-12.035256005810281</v>
      </c>
      <c r="D78" cm="1">
        <f t="array" ref="D78" xml:space="preserve"> CallTheta($B$14,A78,$D$22,D12,$D$20,$K$23)</f>
        <v>-7.5660247838976709</v>
      </c>
      <c r="E78" cm="1">
        <f t="array" ref="E78" xml:space="preserve"> CallTheta($B$14,A78,$E$22,E12,$E$20,$K$23)</f>
        <v>-7.5871133701656177</v>
      </c>
      <c r="F78" cm="1">
        <f t="array" ref="F78" xml:space="preserve"> CallTheta($B$14,A78,$F$22,F12,$F$20,$K$23)</f>
        <v>-6.9904081126178603</v>
      </c>
      <c r="G78" cm="1">
        <f t="array" ref="G78" xml:space="preserve"> CallTheta($B$14,A78,$G$22,G12,$G$20,$K$23)</f>
        <v>-7.1354781224329162</v>
      </c>
      <c r="H78" cm="1">
        <f t="array" ref="H78" xml:space="preserve"> CallTheta($B$14,A78,$H$22,H12,$H$20,$K$23)</f>
        <v>-6.1315589618175501</v>
      </c>
    </row>
    <row r="80" spans="1:8" x14ac:dyDescent="0.25">
      <c r="A80" s="2" t="s">
        <v>604</v>
      </c>
    </row>
    <row r="82" spans="1:8" x14ac:dyDescent="0.25">
      <c r="B82">
        <v>1.5873015873015872E-2</v>
      </c>
      <c r="C82">
        <v>3.1746031746031744E-2</v>
      </c>
      <c r="D82">
        <v>0.13492063492063491</v>
      </c>
      <c r="E82">
        <v>0.21428571428571427</v>
      </c>
      <c r="F82">
        <v>0.29365079365079366</v>
      </c>
      <c r="G82">
        <v>0.82936507936507942</v>
      </c>
      <c r="H82">
        <v>1.8611111111111112</v>
      </c>
    </row>
    <row r="83" spans="1:8" x14ac:dyDescent="0.25">
      <c r="A83" s="2" t="s">
        <v>570</v>
      </c>
      <c r="B83" cm="1">
        <f t="array" ref="B83" xml:space="preserve"> CallVega($B$14,A83,$B$22,B2,$B$20,$K$23)</f>
        <v>2.6524408245065811</v>
      </c>
      <c r="C83" cm="1">
        <f t="array" ref="C83" xml:space="preserve"> CallVega($B$14,A83,$C$22,C2,$C$20,$K$23)</f>
        <v>0.64015302329990165</v>
      </c>
      <c r="D83" cm="1">
        <f t="array" ref="D83" xml:space="preserve"> CallVega($B$14,A83,$D$22,D2,$D$20,$K$23)</f>
        <v>2.9652961721286886</v>
      </c>
      <c r="E83" cm="1">
        <f t="array" ref="E83" xml:space="preserve"> CallVega($B$14,A83,$E$22,E2,$E$20,$K$23)</f>
        <v>4.9764721355202663</v>
      </c>
      <c r="F83" cm="1">
        <f t="array" ref="F83" xml:space="preserve"> CallVega($B$14,A83,$F$22,F2,$F$20,$K$23)</f>
        <v>7.1513927354920064</v>
      </c>
      <c r="G83" cm="1">
        <f t="array" ref="G83" xml:space="preserve"> CallVega($B$14,A83,$G$22,G2,$G$20,$K$23)</f>
        <v>18.659386979068387</v>
      </c>
      <c r="H83" cm="1">
        <f t="array" ref="H83" xml:space="preserve"> CallVega($B$14,A83,$H$22,H2,$H$20,$K$23)</f>
        <v>30.388101676150754</v>
      </c>
    </row>
    <row r="84" spans="1:8" x14ac:dyDescent="0.25">
      <c r="A84" s="2" t="s">
        <v>572</v>
      </c>
      <c r="B84" cm="1">
        <f t="array" ref="B84" xml:space="preserve"> CallVega($B$14,A84,$B$22,B3,$B$20,$K$23)</f>
        <v>0.91858837276728711</v>
      </c>
      <c r="C84" cm="1">
        <f t="array" ref="C84" xml:space="preserve"> CallVega($B$14,A84,$C$22,C3,$C$20,$K$23)</f>
        <v>0.90674847986110452</v>
      </c>
      <c r="D84" cm="1">
        <f t="array" ref="D84" xml:space="preserve"> CallVega($B$14,A84,$D$22,D3,$D$20,$K$23)</f>
        <v>6.9464933930485406</v>
      </c>
      <c r="E84" cm="1">
        <f t="array" ref="E84" xml:space="preserve"> CallVega($B$14,A84,$E$22,E3,$E$20,$K$23)</f>
        <v>10.194496623108886</v>
      </c>
      <c r="F84" cm="1">
        <f t="array" ref="F84" xml:space="preserve"> CallVega($B$14,A84,$F$22,F3,$F$20,$K$23)</f>
        <v>12.867061270776734</v>
      </c>
      <c r="G84" cm="1">
        <f t="array" ref="G84" xml:space="preserve"> CallVega($B$14,A84,$G$22,G3,$G$20,$K$23)</f>
        <v>24.483629226584942</v>
      </c>
      <c r="H84" cm="1">
        <f t="array" ref="H84" xml:space="preserve"> CallVega($B$14,A84,$H$22,H3,$H$20,$K$23)</f>
        <v>36.261004966339435</v>
      </c>
    </row>
    <row r="85" spans="1:8" x14ac:dyDescent="0.25">
      <c r="A85" s="2" t="s">
        <v>573</v>
      </c>
      <c r="B85" cm="1">
        <f t="array" ref="B85" xml:space="preserve"> CallVega($B$14,A85,$B$22,B4,$B$20,$K$23)</f>
        <v>1.0283457571751573</v>
      </c>
      <c r="C85" cm="1">
        <f t="array" ref="C85" xml:space="preserve"> CallVega($B$14,A85,$C$22,C4,$C$20,$K$23)</f>
        <v>2.1099785500104788</v>
      </c>
      <c r="D85" cm="1">
        <f t="array" ref="D85" xml:space="preserve"> CallVega($B$14,A85,$D$22,D4,$D$20,$K$23)</f>
        <v>9.5671493814708839</v>
      </c>
      <c r="E85" cm="1">
        <f t="array" ref="E85" xml:space="preserve"> CallVega($B$14,A85,$E$22,E4,$E$20,$K$23)</f>
        <v>12.715397544386777</v>
      </c>
      <c r="F85" cm="1">
        <f t="array" ref="F85" xml:space="preserve"> CallVega($B$14,A85,$F$22,F4,$F$20,$K$23)</f>
        <v>15.323157084764276</v>
      </c>
      <c r="G85" cm="1">
        <f t="array" ref="G85" xml:space="preserve"> CallVega($B$14,A85,$G$22,G4,$G$20,$K$23)</f>
        <v>26.777679078288045</v>
      </c>
      <c r="H85" cm="1">
        <f t="array" ref="H85" xml:space="preserve"> CallVega($B$14,A85,$H$22,H4,$H$20,$K$23)</f>
        <v>38.677940243246134</v>
      </c>
    </row>
    <row r="86" spans="1:8" x14ac:dyDescent="0.25">
      <c r="A86" s="2" t="s">
        <v>574</v>
      </c>
      <c r="B86" cm="1">
        <f t="array" ref="B86" xml:space="preserve"> CallVega($B$14,A86,$B$22,B5,$B$20,$K$23)</f>
        <v>2.6353661584461676</v>
      </c>
      <c r="C86" cm="1">
        <f t="array" ref="C86" xml:space="preserve"> CallVega($B$14,A86,$C$22,C5,$C$20,$K$23)</f>
        <v>4.6763483711792384</v>
      </c>
      <c r="D86" cm="1">
        <f t="array" ref="D86" xml:space="preserve"> CallVega($B$14,A86,$D$22,D5,$D$20,$K$23)</f>
        <v>11.511888141465045</v>
      </c>
      <c r="E86" cm="1">
        <f t="array" ref="E86" xml:space="preserve"> CallVega($B$14,A86,$E$22,E5,$E$20,$K$23)</f>
        <v>14.630124624545234</v>
      </c>
      <c r="F86" cm="1">
        <f t="array" ref="F86" xml:space="preserve"> CallVega($B$14,A86,$F$22,F5,$F$20,$K$23)</f>
        <v>17.168990559769377</v>
      </c>
      <c r="G86" cm="1">
        <f t="array" ref="G86" xml:space="preserve"> CallVega($B$14,A86,$G$22,G5,$G$20,$K$23)</f>
        <v>28.593049810208711</v>
      </c>
      <c r="H86" cm="1">
        <f t="array" ref="H86" xml:space="preserve"> CallVega($B$14,A86,$H$22,H5,$H$20,$K$23)</f>
        <v>40.755457548726199</v>
      </c>
    </row>
    <row r="87" spans="1:8" x14ac:dyDescent="0.25">
      <c r="A87" s="2" t="s">
        <v>571</v>
      </c>
      <c r="B87" cm="1">
        <f t="array" ref="B87" xml:space="preserve"> CallVega($B$14,A87,$B$22,B6,$B$20,$K$23)</f>
        <v>4.1416618228448927</v>
      </c>
      <c r="C87" cm="1">
        <f t="array" ref="C87" xml:space="preserve"> CallVega($B$14,A87,$C$22,C6,$C$20,$K$23)</f>
        <v>5.9215998634611564</v>
      </c>
      <c r="D87" cm="1">
        <f t="array" ref="D87" xml:space="preserve"> CallVega($B$14,A87,$D$22,D6,$D$20,$K$23)</f>
        <v>12.299062297038279</v>
      </c>
      <c r="E87" cm="1">
        <f t="array" ref="E87" xml:space="preserve"> CallVega($B$14,A87,$E$22,E6,$E$20,$K$23)</f>
        <v>15.479664069837655</v>
      </c>
      <c r="F87" cm="1">
        <f t="array" ref="F87" xml:space="preserve"> CallVega($B$14,A87,$F$22,F6,$F$20,$K$23)</f>
        <v>18.079669745502756</v>
      </c>
      <c r="G87" cm="1">
        <f t="array" ref="G87" xml:space="preserve"> CallVega($B$14,A87,$G$22,G6,$G$20,$K$23)</f>
        <v>29.81942516759198</v>
      </c>
      <c r="H87" cm="1">
        <f t="array" ref="H87" xml:space="preserve"> CallVega($B$14,A87,$H$22,H6,$H$20,$K$23)</f>
        <v>42.470615170568657</v>
      </c>
    </row>
    <row r="88" spans="1:8" x14ac:dyDescent="0.25">
      <c r="A88" s="2" t="s">
        <v>575</v>
      </c>
      <c r="B88" cm="1">
        <f t="array" ref="B88" xml:space="preserve"> CallVega($B$14,A88,$B$22,B7,$B$20,$K$23)</f>
        <v>2.5129794808703081</v>
      </c>
      <c r="C88" cm="1">
        <f t="array" ref="C88" xml:space="preserve"> CallVega($B$14,A88,$C$22,C7,$C$20,$K$23)</f>
        <v>4.2904829055809346</v>
      </c>
      <c r="D88" cm="1">
        <f t="array" ref="D88" xml:space="preserve"> CallVega($B$14,A88,$D$22,D7,$D$20,$K$23)</f>
        <v>11.764771480862313</v>
      </c>
      <c r="E88" cm="1">
        <f t="array" ref="E88" xml:space="preserve"> CallVega($B$14,A88,$E$22,E7,$E$20,$K$23)</f>
        <v>15.147834235816417</v>
      </c>
      <c r="F88" cm="1">
        <f t="array" ref="F88" xml:space="preserve"> CallVega($B$14,A88,$F$22,F7,$F$20,$K$23)</f>
        <v>17.955607063243644</v>
      </c>
      <c r="G88" cm="1">
        <f t="array" ref="G88" xml:space="preserve"> CallVega($B$14,A88,$G$22,G7,$G$20,$K$23)</f>
        <v>30.432582185099307</v>
      </c>
      <c r="H88" cm="1">
        <f t="array" ref="H88" xml:space="preserve"> CallVega($B$14,A88,$H$22,H7,$H$20,$K$23)</f>
        <v>43.810339545248361</v>
      </c>
    </row>
    <row r="89" spans="1:8" x14ac:dyDescent="0.25">
      <c r="A89" s="2" t="s">
        <v>576</v>
      </c>
      <c r="B89" cm="1">
        <f t="array" ref="B89" xml:space="preserve"> CallVega($B$14,A89,$B$22,B8,$B$20,$K$23)</f>
        <v>1.6258338803963859</v>
      </c>
      <c r="C89" cm="1">
        <f t="array" ref="C89" xml:space="preserve"> CallVega($B$14,A89,$C$22,C8,$C$20,$K$23)</f>
        <v>2.8001287786888049</v>
      </c>
      <c r="D89" cm="1">
        <f t="array" ref="D89" xml:space="preserve"> CallVega($B$14,A89,$D$22,D8,$D$20,$K$23)</f>
        <v>10.293508041593066</v>
      </c>
      <c r="E89" cm="1">
        <f t="array" ref="E89" xml:space="preserve"> CallVega($B$14,A89,$E$22,E8,$E$20,$K$23)</f>
        <v>13.839944055069846</v>
      </c>
      <c r="F89" cm="1">
        <f t="array" ref="F89" xml:space="preserve"> CallVega($B$14,A89,$F$22,F8,$F$20,$K$23)</f>
        <v>16.898619947527258</v>
      </c>
      <c r="G89" cm="1">
        <f t="array" ref="G89" xml:space="preserve"> CallVega($B$14,A89,$G$22,G8,$G$20,$K$23)</f>
        <v>30.426871795536268</v>
      </c>
      <c r="H89" cm="1">
        <f t="array" ref="H89" xml:space="preserve"> CallVega($B$14,A89,$H$22,H8,$H$20,$K$23)</f>
        <v>45.051206971552823</v>
      </c>
    </row>
    <row r="90" spans="1:8" x14ac:dyDescent="0.25">
      <c r="A90" s="2" t="s">
        <v>577</v>
      </c>
      <c r="B90" cm="1">
        <f t="array" ref="B90" xml:space="preserve"> CallVega($B$14,A90,$B$22,B9,$B$20,$K$23)</f>
        <v>1.192265754852383</v>
      </c>
      <c r="C90" cm="1">
        <f t="array" ref="C90" xml:space="preserve"> CallVega($B$14,A90,$C$22,C9,$C$20,$K$23)</f>
        <v>1.904125504793913</v>
      </c>
      <c r="D90" cm="1">
        <f t="array" ref="D90" xml:space="preserve"> CallVega($B$14,A90,$D$22,D9,$D$20,$K$23)</f>
        <v>8.4836671925234235</v>
      </c>
      <c r="E90" cm="1">
        <f t="array" ref="E90" xml:space="preserve"> CallVega($B$14,A90,$E$22,E9,$E$20,$K$23)</f>
        <v>11.981618021650128</v>
      </c>
      <c r="F90" cm="1">
        <f t="array" ref="F90" xml:space="preserve"> CallVega($B$14,A90,$F$22,F9,$F$20,$K$23)</f>
        <v>15.219095290954661</v>
      </c>
      <c r="G90" cm="1">
        <f t="array" ref="G90" xml:space="preserve"> CallVega($B$14,A90,$G$22,G9,$G$20,$K$23)</f>
        <v>29.859256185214086</v>
      </c>
      <c r="H90" cm="1">
        <f t="array" ref="H90" xml:space="preserve"> CallVega($B$14,A90,$H$22,H9,$H$20,$K$23)</f>
        <v>45.355135051170457</v>
      </c>
    </row>
    <row r="91" spans="1:8" x14ac:dyDescent="0.25">
      <c r="A91" s="2" t="s">
        <v>578</v>
      </c>
      <c r="B91" cm="1">
        <f t="array" ref="B91" xml:space="preserve"> CallVega($B$14,A91,$B$22,B10,$B$20,$K$23)</f>
        <v>1.0969646023688466</v>
      </c>
      <c r="C91" cm="1">
        <f t="array" ref="C91" xml:space="preserve"> CallVega($B$14,A91,$C$22,C10,$C$20,$K$23)</f>
        <v>1.647881119128505</v>
      </c>
      <c r="D91" cm="1">
        <f t="array" ref="D91" xml:space="preserve"> CallVega($B$14,A91,$D$22,D10,$D$20,$K$23)</f>
        <v>6.6188341971638511</v>
      </c>
      <c r="E91" cm="1">
        <f t="array" ref="E91" xml:space="preserve"> CallVega($B$14,A91,$E$22,E10,$E$20,$K$23)</f>
        <v>10.030235863198131</v>
      </c>
      <c r="F91" cm="1">
        <f t="array" ref="F91" xml:space="preserve"> CallVega($B$14,A91,$F$22,F10,$F$20,$K$23)</f>
        <v>12.996362177220469</v>
      </c>
      <c r="G91" cm="1">
        <f t="array" ref="G91" xml:space="preserve"> CallVega($B$14,A91,$G$22,G10,$G$20,$K$23)</f>
        <v>28.857329035862989</v>
      </c>
      <c r="H91" cm="1">
        <f t="array" ref="H91" xml:space="preserve"> CallVega($B$14,A91,$H$22,H10,$H$20,$K$23)</f>
        <v>45.674726036414555</v>
      </c>
    </row>
    <row r="92" spans="1:8" x14ac:dyDescent="0.25">
      <c r="A92" s="2" t="s">
        <v>579</v>
      </c>
      <c r="B92" cm="1">
        <f t="array" ref="B92" xml:space="preserve"> CallVega($B$14,A92,$B$22,B11,$B$20,$K$23)</f>
        <v>1.0873340612885278</v>
      </c>
      <c r="C92" cm="1">
        <f t="array" ref="C92" xml:space="preserve"> CallVega($B$14,A92,$C$22,C11,$C$20,$K$23)</f>
        <v>0.92505651846219961</v>
      </c>
      <c r="D92" cm="1">
        <f t="array" ref="D92" xml:space="preserve"> CallVega($B$14,A92,$D$22,D11,$D$20,$K$23)</f>
        <v>5.1452733185570869</v>
      </c>
      <c r="E92" cm="1">
        <f t="array" ref="E92" xml:space="preserve"> CallVega($B$14,A92,$E$22,E11,$E$20,$K$23)</f>
        <v>8.243318069828975</v>
      </c>
      <c r="F92" cm="1">
        <f t="array" ref="F92" xml:space="preserve"> CallVega($B$14,A92,$F$22,F11,$F$20,$K$23)</f>
        <v>11.381371104514905</v>
      </c>
      <c r="G92" cm="1">
        <f t="array" ref="G92" xml:space="preserve"> CallVega($B$14,A92,$G$22,G11,$G$20,$K$23)</f>
        <v>27.57765488264597</v>
      </c>
      <c r="H92" cm="1">
        <f t="array" ref="H92" xml:space="preserve"> CallVega($B$14,A92,$H$22,H11,$H$20,$K$23)</f>
        <v>45.636587666149858</v>
      </c>
    </row>
    <row r="93" spans="1:8" x14ac:dyDescent="0.25">
      <c r="A93" s="2" t="s">
        <v>580</v>
      </c>
      <c r="B93" cm="1">
        <f t="array" ref="B93" xml:space="preserve"> CallVega($B$14,A93,$B$22,B12,$B$20,$K$23)</f>
        <v>1.6366694347723698</v>
      </c>
      <c r="C93" cm="1">
        <f t="array" ref="C93" xml:space="preserve"> CallVega($B$14,A93,$C$22,C12,$C$20,$K$23)</f>
        <v>0.87975521979765436</v>
      </c>
      <c r="D93" cm="1">
        <f t="array" ref="D93" xml:space="preserve"> CallVega($B$14,A93,$D$22,D12,$D$20,$K$23)</f>
        <v>3.8541277636941174</v>
      </c>
      <c r="E93" cm="1">
        <f t="array" ref="E93" xml:space="preserve"> CallVega($B$14,A93,$E$22,E12,$E$20,$K$23)</f>
        <v>6.7066592687395232</v>
      </c>
      <c r="F93" cm="1">
        <f t="array" ref="F93" xml:space="preserve"> CallVega($B$14,A93,$F$22,F12,$F$20,$K$23)</f>
        <v>9.1081993165826756</v>
      </c>
      <c r="G93" cm="1">
        <f t="array" ref="G93" xml:space="preserve"> CallVega($B$14,A93,$G$22,G12,$G$20,$K$23)</f>
        <v>26.032141406605469</v>
      </c>
      <c r="H93" cm="1">
        <f t="array" ref="H93" xml:space="preserve"> CallVega($B$14,A93,$H$22,H12,$H$20,$K$23)</f>
        <v>45.326848472582107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B87AE-FF55-40CD-BB6F-FADB5BEB2FE8}">
  <sheetPr codeName="Sheet11"/>
  <dimension ref="A1:T31"/>
  <sheetViews>
    <sheetView tabSelected="1" workbookViewId="0">
      <selection activeCell="S28" sqref="S28"/>
    </sheetView>
  </sheetViews>
  <sheetFormatPr defaultRowHeight="15" x14ac:dyDescent="0.25"/>
  <cols>
    <col min="2" max="2" width="10.7109375" bestFit="1" customWidth="1"/>
  </cols>
  <sheetData>
    <row r="1" spans="1:14" x14ac:dyDescent="0.25">
      <c r="A1" t="s">
        <v>630</v>
      </c>
    </row>
    <row r="2" spans="1:14" x14ac:dyDescent="0.25">
      <c r="B2" s="4"/>
    </row>
    <row r="3" spans="1:14" x14ac:dyDescent="0.25">
      <c r="B3" s="4"/>
      <c r="C3" s="5"/>
      <c r="D3" s="5"/>
      <c r="E3" s="5"/>
      <c r="F3" s="5"/>
    </row>
    <row r="4" spans="1:14" x14ac:dyDescent="0.25">
      <c r="B4" s="4"/>
      <c r="C4" s="5"/>
      <c r="D4" s="5"/>
      <c r="E4" s="5"/>
      <c r="F4" s="5"/>
    </row>
    <row r="5" spans="1:14" x14ac:dyDescent="0.25">
      <c r="B5" s="4"/>
      <c r="C5" s="5"/>
      <c r="D5" s="5"/>
      <c r="E5" s="5"/>
      <c r="F5" s="5"/>
    </row>
    <row r="6" spans="1:14" x14ac:dyDescent="0.25">
      <c r="B6" s="4"/>
      <c r="C6" s="5"/>
      <c r="D6" s="5"/>
      <c r="E6" s="5"/>
      <c r="F6" s="5"/>
    </row>
    <row r="7" spans="1:14" x14ac:dyDescent="0.25">
      <c r="B7" s="4"/>
      <c r="C7" s="6"/>
      <c r="D7" s="6"/>
      <c r="E7" s="6"/>
      <c r="F7" s="6"/>
    </row>
    <row r="8" spans="1:14" x14ac:dyDescent="0.25">
      <c r="B8" s="4"/>
      <c r="C8" s="6"/>
      <c r="D8" s="6"/>
      <c r="E8" s="6"/>
      <c r="F8" s="6"/>
    </row>
    <row r="9" spans="1:14" x14ac:dyDescent="0.25">
      <c r="N9" t="s">
        <v>615</v>
      </c>
    </row>
    <row r="10" spans="1:14" x14ac:dyDescent="0.25">
      <c r="B10" t="s">
        <v>611</v>
      </c>
      <c r="C10">
        <v>0</v>
      </c>
    </row>
    <row r="11" spans="1:14" x14ac:dyDescent="0.25">
      <c r="B11" t="s">
        <v>586</v>
      </c>
      <c r="C11">
        <v>83.96</v>
      </c>
    </row>
    <row r="12" spans="1:14" x14ac:dyDescent="0.25">
      <c r="G12" t="s">
        <v>631</v>
      </c>
    </row>
    <row r="13" spans="1:14" x14ac:dyDescent="0.25">
      <c r="A13" t="s">
        <v>612</v>
      </c>
      <c r="B13" t="s">
        <v>613</v>
      </c>
      <c r="C13" t="s">
        <v>607</v>
      </c>
      <c r="D13" s="11" t="s">
        <v>608</v>
      </c>
      <c r="E13" t="s">
        <v>609</v>
      </c>
      <c r="F13" t="s">
        <v>610</v>
      </c>
      <c r="G13" t="s">
        <v>626</v>
      </c>
      <c r="H13" t="s">
        <v>606</v>
      </c>
      <c r="I13" s="11" t="s">
        <v>627</v>
      </c>
    </row>
    <row r="14" spans="1:14" x14ac:dyDescent="0.25">
      <c r="A14">
        <v>1.5873015873015872E-2</v>
      </c>
      <c r="B14" s="4">
        <v>44659</v>
      </c>
      <c r="C14" s="6">
        <v>84</v>
      </c>
      <c r="D14" s="12">
        <v>0.38</v>
      </c>
      <c r="E14" s="6">
        <v>0.33</v>
      </c>
      <c r="F14" s="6">
        <v>0.37</v>
      </c>
      <c r="G14">
        <v>9.6167000000000006E-3</v>
      </c>
      <c r="H14">
        <v>0.30363457050180787</v>
      </c>
      <c r="I14" s="11" cm="1">
        <f t="array" ref="I14" xml:space="preserve"> BSMCall($C$11,C14,A14,G14,$C$10,H14)</f>
        <v>1.2679229661969558</v>
      </c>
    </row>
    <row r="15" spans="1:14" x14ac:dyDescent="0.25">
      <c r="A15">
        <v>3.1746031746031744E-2</v>
      </c>
      <c r="B15" s="4">
        <v>44665</v>
      </c>
      <c r="C15" s="6">
        <v>84</v>
      </c>
      <c r="D15" s="12">
        <v>0.83</v>
      </c>
      <c r="E15" s="6">
        <v>0.9</v>
      </c>
      <c r="F15" s="6">
        <v>0.97</v>
      </c>
      <c r="G15">
        <v>9.6167000000000006E-3</v>
      </c>
      <c r="H15">
        <v>0.36733155423450392</v>
      </c>
      <c r="I15" s="11" cm="1">
        <f t="array" ref="I15" xml:space="preserve"> BSMCall($C$11,C15,A15,G15,$C$10,H15)</f>
        <v>2.1848506714756439</v>
      </c>
    </row>
    <row r="16" spans="1:14" x14ac:dyDescent="0.25">
      <c r="A16">
        <v>0.13492063492063491</v>
      </c>
      <c r="B16" s="4">
        <v>44701</v>
      </c>
      <c r="C16" s="5">
        <v>82.5</v>
      </c>
      <c r="D16" s="13">
        <v>4.6500000000000004</v>
      </c>
      <c r="E16" s="5">
        <v>4.5999999999999996</v>
      </c>
      <c r="F16" s="5">
        <v>4.75</v>
      </c>
      <c r="G16">
        <v>9.6167000000000006E-3</v>
      </c>
      <c r="H16">
        <v>0.56310696315886222</v>
      </c>
      <c r="I16" s="11" cm="1">
        <f t="array" ref="I16" xml:space="preserve"> BSMCall($C$11,C16,A16,G16,$C$10,H16)</f>
        <v>7.6629945909408264</v>
      </c>
      <c r="L16" t="s">
        <v>629</v>
      </c>
    </row>
    <row r="17" spans="1:20" x14ac:dyDescent="0.25">
      <c r="A17">
        <v>0.21428571428571427</v>
      </c>
      <c r="B17" s="4">
        <v>44729</v>
      </c>
      <c r="C17" s="5">
        <v>82.5</v>
      </c>
      <c r="D17" s="13">
        <v>5.95</v>
      </c>
      <c r="E17" s="5">
        <v>5.75</v>
      </c>
      <c r="F17" s="5">
        <v>5.85</v>
      </c>
      <c r="G17">
        <v>9.777000000000001E-3</v>
      </c>
      <c r="H17">
        <v>0.56023944493589761</v>
      </c>
      <c r="I17" s="11" cm="1">
        <f t="array" ref="I17" xml:space="preserve"> BSMCall($C$11,C17,A17,G17,$C$10,H17)</f>
        <v>9.4189266369425582</v>
      </c>
      <c r="N17" t="s">
        <v>619</v>
      </c>
      <c r="O17" t="s">
        <v>620</v>
      </c>
      <c r="P17" t="s">
        <v>621</v>
      </c>
      <c r="Q17" t="s">
        <v>622</v>
      </c>
      <c r="R17" t="s">
        <v>623</v>
      </c>
      <c r="S17" t="s">
        <v>624</v>
      </c>
      <c r="T17" t="s">
        <v>625</v>
      </c>
    </row>
    <row r="18" spans="1:20" x14ac:dyDescent="0.25">
      <c r="A18">
        <v>0.47222222222222221</v>
      </c>
      <c r="B18" s="4">
        <v>44820</v>
      </c>
      <c r="C18" s="5">
        <v>82.5</v>
      </c>
      <c r="D18" s="13">
        <v>9</v>
      </c>
      <c r="E18" s="5">
        <v>8.65</v>
      </c>
      <c r="F18" s="5">
        <v>9.15</v>
      </c>
      <c r="G18">
        <v>1.3680399999999999E-2</v>
      </c>
      <c r="H18">
        <v>0.47526839355657463</v>
      </c>
      <c r="I18" s="11" cm="1">
        <f t="array" ref="I18" xml:space="preserve"> BSMCall($C$11,C18,A18,G18,$C$10,H18)</f>
        <v>11.786269264273294</v>
      </c>
      <c r="L18" t="s">
        <v>616</v>
      </c>
      <c r="M18" t="s">
        <v>605</v>
      </c>
      <c r="N18">
        <v>1.9127180071183143E-2</v>
      </c>
      <c r="O18">
        <v>2.3139712885984105E-2</v>
      </c>
      <c r="P18">
        <v>3.5472404429694279E-2</v>
      </c>
      <c r="Q18">
        <v>3.5291767760696417E-2</v>
      </c>
      <c r="R18">
        <v>2.9939094651425455E-2</v>
      </c>
      <c r="S18">
        <v>2.7300310874995633E-2</v>
      </c>
      <c r="T18">
        <v>3.1633170133084788E-2</v>
      </c>
    </row>
    <row r="19" spans="1:20" x14ac:dyDescent="0.25">
      <c r="A19">
        <v>0.82936507936507942</v>
      </c>
      <c r="B19" s="4">
        <v>44946</v>
      </c>
      <c r="C19" s="5">
        <v>82.5</v>
      </c>
      <c r="D19" s="13">
        <v>13</v>
      </c>
      <c r="E19" s="5">
        <v>11.85</v>
      </c>
      <c r="F19" s="5">
        <v>12.4</v>
      </c>
      <c r="G19">
        <v>1.7329199999999999E-2</v>
      </c>
      <c r="H19">
        <v>0.43337899973994359</v>
      </c>
      <c r="I19" s="11" cm="1">
        <f t="array" ref="I19" xml:space="preserve"> BSMCall($C$11,C19,A19,G19,$C$10,H19)</f>
        <v>14.288475786382243</v>
      </c>
      <c r="M19" t="s">
        <v>606</v>
      </c>
      <c r="N19">
        <v>0.30363457050180787</v>
      </c>
      <c r="O19">
        <v>0.36733155423450392</v>
      </c>
      <c r="P19">
        <v>0.56310696315886222</v>
      </c>
      <c r="Q19">
        <v>0.56023944493589761</v>
      </c>
      <c r="R19">
        <v>0.47526839355657463</v>
      </c>
      <c r="S19">
        <v>0.43337899973994359</v>
      </c>
      <c r="T19">
        <v>0.50216100811642994</v>
      </c>
    </row>
    <row r="20" spans="1:20" x14ac:dyDescent="0.25">
      <c r="A20">
        <v>1.8611111111111112</v>
      </c>
      <c r="B20" s="4">
        <v>45310</v>
      </c>
      <c r="C20">
        <v>82.5</v>
      </c>
      <c r="D20" s="11">
        <v>19.5</v>
      </c>
      <c r="E20">
        <v>17.95</v>
      </c>
      <c r="F20">
        <v>19.7</v>
      </c>
      <c r="G20">
        <v>2.6533500000000002E-2</v>
      </c>
      <c r="H20">
        <v>0.50216100811642994</v>
      </c>
      <c r="I20" s="11" cm="1">
        <f t="array" ref="I20" xml:space="preserve"> BSMCall($C$11,C20,A20,G20,$C$10,H20)</f>
        <v>24.594211684460593</v>
      </c>
      <c r="L20" t="s">
        <v>617</v>
      </c>
      <c r="M20" t="s">
        <v>618</v>
      </c>
      <c r="N20" s="7">
        <v>0.42680000000000001</v>
      </c>
      <c r="O20" s="7">
        <v>0.41360000000000002</v>
      </c>
      <c r="P20" s="10">
        <v>0.48580000000000001</v>
      </c>
      <c r="Q20" s="10">
        <v>0.45900000000000002</v>
      </c>
      <c r="R20" s="10">
        <v>0.46</v>
      </c>
      <c r="S20" s="10">
        <v>0.4602</v>
      </c>
      <c r="T20" s="10">
        <v>0.4803</v>
      </c>
    </row>
    <row r="24" spans="1:20" x14ac:dyDescent="0.25">
      <c r="B24" s="4" t="s">
        <v>613</v>
      </c>
      <c r="C24" s="11" t="s">
        <v>633</v>
      </c>
      <c r="D24" t="s">
        <v>634</v>
      </c>
    </row>
    <row r="25" spans="1:20" x14ac:dyDescent="0.25">
      <c r="B25" s="4">
        <v>44659</v>
      </c>
      <c r="C25" s="12">
        <v>0.38</v>
      </c>
      <c r="D25">
        <v>1.2679229661969558</v>
      </c>
    </row>
    <row r="26" spans="1:20" x14ac:dyDescent="0.25">
      <c r="B26" s="4">
        <v>44665</v>
      </c>
      <c r="C26" s="12">
        <v>0.83</v>
      </c>
      <c r="D26">
        <v>2.1848506714756439</v>
      </c>
    </row>
    <row r="27" spans="1:20" x14ac:dyDescent="0.25">
      <c r="B27" s="4">
        <v>44701</v>
      </c>
      <c r="C27" s="13">
        <v>4.6500000000000004</v>
      </c>
      <c r="D27">
        <v>7.6629945909408264</v>
      </c>
    </row>
    <row r="28" spans="1:20" x14ac:dyDescent="0.25">
      <c r="B28" s="4">
        <v>44729</v>
      </c>
      <c r="C28" s="13">
        <v>5.95</v>
      </c>
      <c r="D28">
        <v>9.4189266369425582</v>
      </c>
    </row>
    <row r="29" spans="1:20" x14ac:dyDescent="0.25">
      <c r="B29" s="4">
        <v>44820</v>
      </c>
      <c r="C29" s="13">
        <v>9</v>
      </c>
      <c r="D29">
        <v>11.786269264273294</v>
      </c>
    </row>
    <row r="30" spans="1:20" x14ac:dyDescent="0.25">
      <c r="B30" s="4">
        <v>44946</v>
      </c>
      <c r="C30" s="13">
        <v>13</v>
      </c>
      <c r="D30">
        <v>14.288475786382243</v>
      </c>
    </row>
    <row r="31" spans="1:20" x14ac:dyDescent="0.25">
      <c r="B31" s="4">
        <v>45310</v>
      </c>
      <c r="C31" s="11">
        <v>19.5</v>
      </c>
      <c r="D31">
        <v>24.594211684460593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8E71-EABD-4606-97FB-F139D5456B51}">
  <sheetPr codeName="Sheet3"/>
  <dimension ref="A1:K41"/>
  <sheetViews>
    <sheetView topLeftCell="A7" workbookViewId="0">
      <selection activeCell="K18" sqref="K18"/>
    </sheetView>
  </sheetViews>
  <sheetFormatPr defaultRowHeight="15" x14ac:dyDescent="0.25"/>
  <cols>
    <col min="1" max="1" width="20.42578125" bestFit="1" customWidth="1"/>
    <col min="2" max="2" width="22.5703125" bestFit="1" customWidth="1"/>
    <col min="3" max="3" width="8.42578125" bestFit="1" customWidth="1"/>
    <col min="4" max="4" width="11.5703125" bestFit="1" customWidth="1"/>
    <col min="5" max="5" width="6.140625" bestFit="1" customWidth="1"/>
    <col min="6" max="6" width="6.42578125" bestFit="1" customWidth="1"/>
    <col min="7" max="7" width="9.85546875" bestFit="1" customWidth="1"/>
    <col min="8" max="8" width="11.85546875" bestFit="1" customWidth="1"/>
    <col min="9" max="9" width="10.28515625" bestFit="1" customWidth="1"/>
    <col min="10" max="10" width="15.7109375" bestFit="1" customWidth="1"/>
    <col min="11" max="11" width="18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" t="s">
        <v>485</v>
      </c>
      <c r="B2" s="1" t="s">
        <v>486</v>
      </c>
      <c r="C2">
        <v>32.5</v>
      </c>
      <c r="D2">
        <v>55.63</v>
      </c>
      <c r="E2">
        <v>50.15</v>
      </c>
      <c r="F2">
        <v>52.85</v>
      </c>
      <c r="G2">
        <v>0</v>
      </c>
      <c r="H2" s="1" t="s">
        <v>13</v>
      </c>
      <c r="I2">
        <v>2</v>
      </c>
      <c r="J2">
        <v>4</v>
      </c>
      <c r="K2">
        <v>0.65659999999999996</v>
      </c>
    </row>
    <row r="3" spans="1:11" x14ac:dyDescent="0.25">
      <c r="A3" s="1" t="s">
        <v>487</v>
      </c>
      <c r="B3" s="1" t="s">
        <v>488</v>
      </c>
      <c r="C3">
        <v>35</v>
      </c>
      <c r="D3">
        <v>49.97</v>
      </c>
      <c r="E3">
        <v>48.1</v>
      </c>
      <c r="F3">
        <v>50.4</v>
      </c>
      <c r="G3">
        <v>5.97</v>
      </c>
      <c r="H3" s="1" t="s">
        <v>489</v>
      </c>
      <c r="I3">
        <v>1</v>
      </c>
      <c r="J3">
        <v>18</v>
      </c>
      <c r="K3">
        <v>0.62709999999999999</v>
      </c>
    </row>
    <row r="4" spans="1:11" x14ac:dyDescent="0.25">
      <c r="A4" s="1" t="s">
        <v>490</v>
      </c>
      <c r="B4" s="1" t="s">
        <v>345</v>
      </c>
      <c r="C4">
        <v>37.5</v>
      </c>
      <c r="D4">
        <v>49.85</v>
      </c>
      <c r="E4">
        <v>46.55</v>
      </c>
      <c r="F4">
        <v>48.9</v>
      </c>
      <c r="G4">
        <v>0</v>
      </c>
      <c r="H4" s="1" t="s">
        <v>13</v>
      </c>
      <c r="I4">
        <v>6</v>
      </c>
      <c r="J4">
        <v>43</v>
      </c>
      <c r="K4">
        <v>0.64</v>
      </c>
    </row>
    <row r="5" spans="1:11" x14ac:dyDescent="0.25">
      <c r="A5" s="1" t="s">
        <v>491</v>
      </c>
      <c r="B5" s="1" t="s">
        <v>44</v>
      </c>
      <c r="C5">
        <v>40</v>
      </c>
      <c r="D5">
        <v>45.15</v>
      </c>
      <c r="E5">
        <v>43.2</v>
      </c>
      <c r="F5">
        <v>45.55</v>
      </c>
      <c r="G5">
        <v>-2.8</v>
      </c>
      <c r="H5" s="1" t="s">
        <v>492</v>
      </c>
      <c r="I5">
        <v>3</v>
      </c>
      <c r="J5">
        <v>16</v>
      </c>
      <c r="K5">
        <v>0.55130000000000001</v>
      </c>
    </row>
    <row r="6" spans="1:11" x14ac:dyDescent="0.25">
      <c r="A6" s="1" t="s">
        <v>493</v>
      </c>
      <c r="B6" s="1" t="s">
        <v>494</v>
      </c>
      <c r="C6">
        <v>45</v>
      </c>
      <c r="D6">
        <v>44.05</v>
      </c>
      <c r="E6">
        <v>39.299999999999997</v>
      </c>
      <c r="F6">
        <v>42.85</v>
      </c>
      <c r="G6">
        <v>0</v>
      </c>
      <c r="H6" s="1" t="s">
        <v>13</v>
      </c>
      <c r="I6">
        <v>4</v>
      </c>
      <c r="J6">
        <v>4</v>
      </c>
      <c r="K6">
        <v>0.55840000000000001</v>
      </c>
    </row>
    <row r="7" spans="1:11" x14ac:dyDescent="0.25">
      <c r="A7" s="1" t="s">
        <v>495</v>
      </c>
      <c r="B7" s="1" t="s">
        <v>496</v>
      </c>
      <c r="C7">
        <v>47.5</v>
      </c>
      <c r="D7">
        <v>65.150000000000006</v>
      </c>
      <c r="E7">
        <v>60.25</v>
      </c>
      <c r="F7">
        <v>63.45</v>
      </c>
      <c r="G7">
        <v>0</v>
      </c>
      <c r="H7" s="1" t="s">
        <v>13</v>
      </c>
      <c r="I7">
        <v>10</v>
      </c>
      <c r="J7">
        <v>90</v>
      </c>
      <c r="K7">
        <v>1.5161</v>
      </c>
    </row>
    <row r="8" spans="1:11" x14ac:dyDescent="0.25">
      <c r="A8" s="1" t="s">
        <v>497</v>
      </c>
      <c r="B8" s="1" t="s">
        <v>156</v>
      </c>
      <c r="C8">
        <v>50</v>
      </c>
      <c r="D8">
        <v>38.130000000000003</v>
      </c>
      <c r="E8">
        <v>36.799999999999997</v>
      </c>
      <c r="F8">
        <v>38.049999999999997</v>
      </c>
      <c r="G8">
        <v>7.24</v>
      </c>
      <c r="H8" s="1" t="s">
        <v>498</v>
      </c>
      <c r="I8">
        <v>3</v>
      </c>
      <c r="J8">
        <v>42</v>
      </c>
      <c r="K8">
        <v>0.53910000000000002</v>
      </c>
    </row>
    <row r="9" spans="1:11" x14ac:dyDescent="0.25">
      <c r="A9" s="1" t="s">
        <v>499</v>
      </c>
      <c r="B9" s="1" t="s">
        <v>500</v>
      </c>
      <c r="C9">
        <v>55</v>
      </c>
      <c r="D9">
        <v>27.75</v>
      </c>
      <c r="E9">
        <v>33.65</v>
      </c>
      <c r="F9">
        <v>34.65</v>
      </c>
      <c r="G9">
        <v>0</v>
      </c>
      <c r="H9" s="1" t="s">
        <v>13</v>
      </c>
      <c r="I9">
        <v>1</v>
      </c>
      <c r="J9">
        <v>3</v>
      </c>
      <c r="K9">
        <v>0.52829999999999999</v>
      </c>
    </row>
    <row r="10" spans="1:11" x14ac:dyDescent="0.25">
      <c r="A10" s="1" t="s">
        <v>501</v>
      </c>
      <c r="B10" s="1" t="s">
        <v>190</v>
      </c>
      <c r="C10">
        <v>60</v>
      </c>
      <c r="D10">
        <v>33.950000000000003</v>
      </c>
      <c r="E10">
        <v>30</v>
      </c>
      <c r="F10">
        <v>31.4</v>
      </c>
      <c r="G10">
        <v>0</v>
      </c>
      <c r="H10" s="1" t="s">
        <v>13</v>
      </c>
      <c r="I10">
        <v>1</v>
      </c>
      <c r="J10">
        <v>75</v>
      </c>
      <c r="K10">
        <v>0.50639999999999996</v>
      </c>
    </row>
    <row r="11" spans="1:11" x14ac:dyDescent="0.25">
      <c r="A11" s="1" t="s">
        <v>502</v>
      </c>
      <c r="B11" s="1" t="s">
        <v>503</v>
      </c>
      <c r="C11">
        <v>65</v>
      </c>
      <c r="D11">
        <v>31.36</v>
      </c>
      <c r="E11">
        <v>27.65</v>
      </c>
      <c r="F11">
        <v>28.45</v>
      </c>
      <c r="G11">
        <v>0</v>
      </c>
      <c r="H11" s="1" t="s">
        <v>13</v>
      </c>
      <c r="I11">
        <v>1</v>
      </c>
      <c r="J11">
        <v>35</v>
      </c>
      <c r="K11">
        <v>0.50419999999999998</v>
      </c>
    </row>
    <row r="12" spans="1:11" x14ac:dyDescent="0.25">
      <c r="A12" s="1" t="s">
        <v>504</v>
      </c>
      <c r="B12" s="1" t="s">
        <v>505</v>
      </c>
      <c r="C12">
        <v>67.5</v>
      </c>
      <c r="D12">
        <v>22.95</v>
      </c>
      <c r="E12">
        <v>25.85</v>
      </c>
      <c r="F12">
        <v>27.05</v>
      </c>
      <c r="G12">
        <v>0</v>
      </c>
      <c r="H12" s="1" t="s">
        <v>13</v>
      </c>
      <c r="I12">
        <v>10</v>
      </c>
      <c r="J12">
        <v>14</v>
      </c>
      <c r="K12">
        <v>0.50990000000000002</v>
      </c>
    </row>
    <row r="13" spans="1:11" x14ac:dyDescent="0.25">
      <c r="A13" s="1" t="s">
        <v>506</v>
      </c>
      <c r="B13" s="1" t="s">
        <v>507</v>
      </c>
      <c r="C13">
        <v>70</v>
      </c>
      <c r="D13">
        <v>26.7</v>
      </c>
      <c r="E13">
        <v>24.25</v>
      </c>
      <c r="F13">
        <v>25.65</v>
      </c>
      <c r="G13">
        <v>0</v>
      </c>
      <c r="H13" s="1" t="s">
        <v>13</v>
      </c>
      <c r="I13">
        <v>6</v>
      </c>
      <c r="J13">
        <v>54</v>
      </c>
      <c r="K13">
        <v>0.503</v>
      </c>
    </row>
    <row r="14" spans="1:11" x14ac:dyDescent="0.25">
      <c r="A14" s="1" t="s">
        <v>508</v>
      </c>
      <c r="B14" s="1" t="s">
        <v>509</v>
      </c>
      <c r="C14">
        <v>72.5</v>
      </c>
      <c r="D14">
        <v>27</v>
      </c>
      <c r="E14">
        <v>23.65</v>
      </c>
      <c r="F14">
        <v>24.4</v>
      </c>
      <c r="G14">
        <v>0</v>
      </c>
      <c r="H14" s="1" t="s">
        <v>13</v>
      </c>
      <c r="I14">
        <v>25</v>
      </c>
      <c r="J14">
        <v>29</v>
      </c>
      <c r="K14">
        <v>0.499</v>
      </c>
    </row>
    <row r="15" spans="1:11" x14ac:dyDescent="0.25">
      <c r="A15" s="1" t="s">
        <v>510</v>
      </c>
      <c r="B15" s="1" t="s">
        <v>511</v>
      </c>
      <c r="C15">
        <v>75</v>
      </c>
      <c r="D15">
        <v>26.5</v>
      </c>
      <c r="E15">
        <v>22.35</v>
      </c>
      <c r="F15">
        <v>23.1</v>
      </c>
      <c r="G15">
        <v>0</v>
      </c>
      <c r="H15" s="1" t="s">
        <v>13</v>
      </c>
      <c r="I15">
        <v>2</v>
      </c>
      <c r="J15">
        <v>154</v>
      </c>
      <c r="K15">
        <v>0.49270000000000003</v>
      </c>
    </row>
    <row r="16" spans="1:11" x14ac:dyDescent="0.25">
      <c r="A16" s="1" t="s">
        <v>512</v>
      </c>
      <c r="B16" s="1" t="s">
        <v>503</v>
      </c>
      <c r="C16">
        <v>77.5</v>
      </c>
      <c r="D16">
        <v>24.5</v>
      </c>
      <c r="E16">
        <v>21.1</v>
      </c>
      <c r="F16">
        <v>21.9</v>
      </c>
      <c r="G16">
        <v>0</v>
      </c>
      <c r="H16" s="1" t="s">
        <v>13</v>
      </c>
      <c r="I16">
        <v>1</v>
      </c>
      <c r="J16">
        <v>77</v>
      </c>
      <c r="K16">
        <v>0.4879</v>
      </c>
    </row>
    <row r="17" spans="1:11" x14ac:dyDescent="0.25">
      <c r="A17" s="1" t="s">
        <v>513</v>
      </c>
      <c r="B17" s="1" t="s">
        <v>514</v>
      </c>
      <c r="C17">
        <v>80</v>
      </c>
      <c r="D17">
        <v>22.7</v>
      </c>
      <c r="E17">
        <v>19.75</v>
      </c>
      <c r="F17">
        <v>20.8</v>
      </c>
      <c r="G17">
        <v>0</v>
      </c>
      <c r="H17" s="1" t="s">
        <v>13</v>
      </c>
      <c r="I17">
        <v>4</v>
      </c>
      <c r="J17">
        <v>186</v>
      </c>
      <c r="K17">
        <v>0.48459999999999998</v>
      </c>
    </row>
    <row r="18" spans="1:11" x14ac:dyDescent="0.25">
      <c r="A18" s="1" t="s">
        <v>515</v>
      </c>
      <c r="B18" s="1" t="s">
        <v>516</v>
      </c>
      <c r="C18">
        <v>82.5</v>
      </c>
      <c r="D18">
        <v>19.5</v>
      </c>
      <c r="E18">
        <v>17.95</v>
      </c>
      <c r="F18">
        <v>19.7</v>
      </c>
      <c r="G18">
        <v>0</v>
      </c>
      <c r="H18" s="1" t="s">
        <v>13</v>
      </c>
      <c r="I18">
        <v>1</v>
      </c>
      <c r="J18">
        <v>36</v>
      </c>
      <c r="K18">
        <v>0.4803</v>
      </c>
    </row>
    <row r="19" spans="1:11" x14ac:dyDescent="0.25">
      <c r="A19" s="1" t="s">
        <v>517</v>
      </c>
      <c r="B19" s="1" t="s">
        <v>518</v>
      </c>
      <c r="C19">
        <v>85</v>
      </c>
      <c r="D19">
        <v>21.95</v>
      </c>
      <c r="E19">
        <v>17.05</v>
      </c>
      <c r="F19">
        <v>18.7</v>
      </c>
      <c r="G19">
        <v>0</v>
      </c>
      <c r="H19" s="1" t="s">
        <v>13</v>
      </c>
      <c r="I19">
        <v>12</v>
      </c>
      <c r="J19">
        <v>84</v>
      </c>
      <c r="K19">
        <v>0.47739999999999999</v>
      </c>
    </row>
    <row r="20" spans="1:11" x14ac:dyDescent="0.25">
      <c r="A20" s="1" t="s">
        <v>519</v>
      </c>
      <c r="B20" s="1" t="s">
        <v>520</v>
      </c>
      <c r="C20">
        <v>87.5</v>
      </c>
      <c r="D20">
        <v>12.2</v>
      </c>
      <c r="E20">
        <v>16.5</v>
      </c>
      <c r="F20">
        <v>17.5</v>
      </c>
      <c r="G20">
        <v>0</v>
      </c>
      <c r="H20" s="1" t="s">
        <v>13</v>
      </c>
      <c r="I20">
        <v>5</v>
      </c>
      <c r="J20">
        <v>23</v>
      </c>
      <c r="K20">
        <v>0.46889999999999998</v>
      </c>
    </row>
    <row r="21" spans="1:11" x14ac:dyDescent="0.25">
      <c r="A21" s="1" t="s">
        <v>521</v>
      </c>
      <c r="B21" s="1" t="s">
        <v>522</v>
      </c>
      <c r="C21">
        <v>90</v>
      </c>
      <c r="D21">
        <v>16.600000000000001</v>
      </c>
      <c r="E21">
        <v>16.100000000000001</v>
      </c>
      <c r="F21">
        <v>16.8</v>
      </c>
      <c r="G21">
        <v>-1.9</v>
      </c>
      <c r="H21" s="1" t="s">
        <v>523</v>
      </c>
      <c r="I21">
        <v>2</v>
      </c>
      <c r="J21">
        <v>27</v>
      </c>
      <c r="K21">
        <v>0.4713</v>
      </c>
    </row>
    <row r="22" spans="1:11" x14ac:dyDescent="0.25">
      <c r="A22" s="1" t="s">
        <v>524</v>
      </c>
      <c r="B22" s="1" t="s">
        <v>525</v>
      </c>
      <c r="C22">
        <v>92.5</v>
      </c>
      <c r="D22">
        <v>15.82</v>
      </c>
      <c r="E22">
        <v>15</v>
      </c>
      <c r="F22">
        <v>15.9</v>
      </c>
      <c r="G22">
        <v>0</v>
      </c>
      <c r="H22" s="1" t="s">
        <v>13</v>
      </c>
      <c r="I22">
        <v>2</v>
      </c>
      <c r="J22">
        <v>1</v>
      </c>
      <c r="K22">
        <v>0.46810000000000002</v>
      </c>
    </row>
    <row r="23" spans="1:11" x14ac:dyDescent="0.25">
      <c r="A23" s="1" t="s">
        <v>526</v>
      </c>
      <c r="B23" s="1" t="s">
        <v>527</v>
      </c>
      <c r="C23">
        <v>95</v>
      </c>
      <c r="D23">
        <v>11.4</v>
      </c>
      <c r="E23">
        <v>10.55</v>
      </c>
      <c r="F23">
        <v>13.6</v>
      </c>
      <c r="G23">
        <v>0</v>
      </c>
      <c r="H23" s="1" t="s">
        <v>13</v>
      </c>
      <c r="I23">
        <v>1</v>
      </c>
      <c r="J23">
        <v>23</v>
      </c>
      <c r="K23">
        <v>0.43159999999999998</v>
      </c>
    </row>
    <row r="24" spans="1:11" x14ac:dyDescent="0.25">
      <c r="A24" s="1" t="s">
        <v>528</v>
      </c>
      <c r="B24" s="1" t="s">
        <v>529</v>
      </c>
      <c r="C24">
        <v>97.5</v>
      </c>
      <c r="D24">
        <v>11.1</v>
      </c>
      <c r="E24">
        <v>12.5</v>
      </c>
      <c r="F24">
        <v>15.9</v>
      </c>
      <c r="G24">
        <v>0</v>
      </c>
      <c r="H24" s="1" t="s">
        <v>13</v>
      </c>
      <c r="I24">
        <v>1</v>
      </c>
      <c r="J24">
        <v>5</v>
      </c>
      <c r="K24">
        <v>0.501</v>
      </c>
    </row>
    <row r="25" spans="1:11" x14ac:dyDescent="0.25">
      <c r="A25" s="1" t="s">
        <v>530</v>
      </c>
      <c r="B25" s="1" t="s">
        <v>531</v>
      </c>
      <c r="C25">
        <v>100</v>
      </c>
      <c r="D25">
        <v>14.75</v>
      </c>
      <c r="E25">
        <v>12.85</v>
      </c>
      <c r="F25">
        <v>13.8</v>
      </c>
      <c r="G25">
        <v>0</v>
      </c>
      <c r="H25" s="1" t="s">
        <v>13</v>
      </c>
      <c r="I25">
        <v>6</v>
      </c>
      <c r="J25">
        <v>121</v>
      </c>
      <c r="K25">
        <v>0.46750000000000003</v>
      </c>
    </row>
    <row r="26" spans="1:11" x14ac:dyDescent="0.25">
      <c r="A26" s="1" t="s">
        <v>532</v>
      </c>
      <c r="B26" s="1" t="s">
        <v>533</v>
      </c>
      <c r="C26">
        <v>105</v>
      </c>
      <c r="D26">
        <v>11.5</v>
      </c>
      <c r="E26">
        <v>11.5</v>
      </c>
      <c r="F26">
        <v>12.05</v>
      </c>
      <c r="G26">
        <v>-1.48</v>
      </c>
      <c r="H26" s="1" t="s">
        <v>534</v>
      </c>
      <c r="I26">
        <v>2</v>
      </c>
      <c r="J26">
        <v>66</v>
      </c>
      <c r="K26">
        <v>0.4551</v>
      </c>
    </row>
    <row r="27" spans="1:11" x14ac:dyDescent="0.25">
      <c r="A27" s="1" t="s">
        <v>535</v>
      </c>
      <c r="B27" s="1" t="s">
        <v>536</v>
      </c>
      <c r="C27">
        <v>110</v>
      </c>
      <c r="D27">
        <v>11.7</v>
      </c>
      <c r="E27">
        <v>10.199999999999999</v>
      </c>
      <c r="F27">
        <v>10.8</v>
      </c>
      <c r="G27">
        <v>0</v>
      </c>
      <c r="H27" s="1" t="s">
        <v>13</v>
      </c>
      <c r="I27">
        <v>11</v>
      </c>
      <c r="J27">
        <v>94</v>
      </c>
      <c r="K27">
        <v>0.45140000000000002</v>
      </c>
    </row>
    <row r="28" spans="1:11" x14ac:dyDescent="0.25">
      <c r="A28" s="1" t="s">
        <v>537</v>
      </c>
      <c r="B28" s="1" t="s">
        <v>538</v>
      </c>
      <c r="C28">
        <v>115</v>
      </c>
      <c r="D28">
        <v>10.4</v>
      </c>
      <c r="E28">
        <v>9.1</v>
      </c>
      <c r="F28">
        <v>9.6999999999999993</v>
      </c>
      <c r="G28">
        <v>0</v>
      </c>
      <c r="H28" s="1" t="s">
        <v>13</v>
      </c>
      <c r="I28">
        <v>11</v>
      </c>
      <c r="J28">
        <v>52</v>
      </c>
      <c r="K28">
        <v>0.44869999999999999</v>
      </c>
    </row>
    <row r="29" spans="1:11" x14ac:dyDescent="0.25">
      <c r="A29" s="1" t="s">
        <v>539</v>
      </c>
      <c r="B29" s="1" t="s">
        <v>540</v>
      </c>
      <c r="C29">
        <v>120</v>
      </c>
      <c r="D29">
        <v>9.15</v>
      </c>
      <c r="E29">
        <v>8.1</v>
      </c>
      <c r="F29">
        <v>8.6999999999999993</v>
      </c>
      <c r="G29">
        <v>0</v>
      </c>
      <c r="H29" s="1" t="s">
        <v>13</v>
      </c>
      <c r="I29">
        <v>175</v>
      </c>
      <c r="J29">
        <v>206</v>
      </c>
      <c r="K29">
        <v>0.44590000000000002</v>
      </c>
    </row>
    <row r="30" spans="1:11" x14ac:dyDescent="0.25">
      <c r="A30" s="1" t="s">
        <v>541</v>
      </c>
      <c r="B30" s="1" t="s">
        <v>542</v>
      </c>
      <c r="C30">
        <v>125</v>
      </c>
      <c r="D30">
        <v>8.65</v>
      </c>
      <c r="E30">
        <v>7.15</v>
      </c>
      <c r="F30">
        <v>7.75</v>
      </c>
      <c r="G30">
        <v>0</v>
      </c>
      <c r="H30" s="1" t="s">
        <v>13</v>
      </c>
      <c r="I30">
        <v>17</v>
      </c>
      <c r="J30">
        <v>57</v>
      </c>
      <c r="K30">
        <v>0.442</v>
      </c>
    </row>
    <row r="31" spans="1:11" x14ac:dyDescent="0.25">
      <c r="A31" s="1" t="s">
        <v>543</v>
      </c>
      <c r="B31" s="1" t="s">
        <v>540</v>
      </c>
      <c r="C31">
        <v>130</v>
      </c>
      <c r="D31">
        <v>7.4</v>
      </c>
      <c r="E31">
        <v>6.45</v>
      </c>
      <c r="F31">
        <v>7</v>
      </c>
      <c r="G31">
        <v>0</v>
      </c>
      <c r="H31" s="1" t="s">
        <v>13</v>
      </c>
      <c r="I31">
        <v>6</v>
      </c>
      <c r="J31">
        <v>49</v>
      </c>
      <c r="K31">
        <v>0.441</v>
      </c>
    </row>
    <row r="32" spans="1:11" x14ac:dyDescent="0.25">
      <c r="A32" s="1" t="s">
        <v>544</v>
      </c>
      <c r="B32" s="1" t="s">
        <v>545</v>
      </c>
      <c r="C32">
        <v>135</v>
      </c>
      <c r="D32">
        <v>6.45</v>
      </c>
      <c r="E32">
        <v>5.7</v>
      </c>
      <c r="F32">
        <v>6.25</v>
      </c>
      <c r="G32">
        <v>0</v>
      </c>
      <c r="H32" s="1" t="s">
        <v>13</v>
      </c>
      <c r="I32">
        <v>17</v>
      </c>
      <c r="J32">
        <v>157</v>
      </c>
      <c r="K32">
        <v>0.438</v>
      </c>
    </row>
    <row r="33" spans="1:11" x14ac:dyDescent="0.25">
      <c r="A33" s="1" t="s">
        <v>546</v>
      </c>
      <c r="B33" s="1" t="s">
        <v>547</v>
      </c>
      <c r="C33">
        <v>140</v>
      </c>
      <c r="D33">
        <v>6.05</v>
      </c>
      <c r="E33">
        <v>5.0999999999999996</v>
      </c>
      <c r="F33">
        <v>5.65</v>
      </c>
      <c r="G33">
        <v>0</v>
      </c>
      <c r="H33" s="1" t="s">
        <v>13</v>
      </c>
      <c r="I33">
        <v>17</v>
      </c>
      <c r="J33">
        <v>72</v>
      </c>
      <c r="K33">
        <v>0.43730000000000002</v>
      </c>
    </row>
    <row r="34" spans="1:11" x14ac:dyDescent="0.25">
      <c r="A34" s="1" t="s">
        <v>548</v>
      </c>
      <c r="B34" s="1" t="s">
        <v>549</v>
      </c>
      <c r="C34">
        <v>145</v>
      </c>
      <c r="D34">
        <v>2.97</v>
      </c>
      <c r="E34">
        <v>4.8499999999999996</v>
      </c>
      <c r="F34">
        <v>5.7</v>
      </c>
      <c r="G34">
        <v>0</v>
      </c>
      <c r="H34" s="1" t="s">
        <v>13</v>
      </c>
      <c r="I34">
        <v>1</v>
      </c>
      <c r="J34">
        <v>18</v>
      </c>
      <c r="K34">
        <v>0.45390000000000003</v>
      </c>
    </row>
    <row r="35" spans="1:11" x14ac:dyDescent="0.25">
      <c r="A35" s="1" t="s">
        <v>550</v>
      </c>
      <c r="B35" s="1" t="s">
        <v>551</v>
      </c>
      <c r="C35">
        <v>150</v>
      </c>
      <c r="D35">
        <v>4.7</v>
      </c>
      <c r="E35">
        <v>4</v>
      </c>
      <c r="F35">
        <v>4.55</v>
      </c>
      <c r="G35">
        <v>0</v>
      </c>
      <c r="H35" s="1" t="s">
        <v>13</v>
      </c>
      <c r="I35">
        <v>50</v>
      </c>
      <c r="J35">
        <v>51</v>
      </c>
      <c r="K35">
        <v>0.4335</v>
      </c>
    </row>
    <row r="36" spans="1:11" x14ac:dyDescent="0.25">
      <c r="A36" s="1" t="s">
        <v>552</v>
      </c>
      <c r="B36" s="1" t="s">
        <v>553</v>
      </c>
      <c r="C36">
        <v>155</v>
      </c>
      <c r="D36">
        <v>3.85</v>
      </c>
      <c r="E36">
        <v>2.4300000000000002</v>
      </c>
      <c r="F36">
        <v>4.5</v>
      </c>
      <c r="G36">
        <v>0</v>
      </c>
      <c r="H36" s="1" t="s">
        <v>13</v>
      </c>
      <c r="I36">
        <v>10</v>
      </c>
      <c r="J36">
        <v>12</v>
      </c>
      <c r="K36">
        <v>0.44529999999999997</v>
      </c>
    </row>
    <row r="37" spans="1:11" x14ac:dyDescent="0.25">
      <c r="A37" s="1" t="s">
        <v>554</v>
      </c>
      <c r="B37" s="1" t="s">
        <v>555</v>
      </c>
      <c r="C37">
        <v>160</v>
      </c>
      <c r="D37">
        <v>3.7</v>
      </c>
      <c r="E37">
        <v>3.2</v>
      </c>
      <c r="F37">
        <v>3.7</v>
      </c>
      <c r="G37">
        <v>0</v>
      </c>
      <c r="H37" s="1" t="s">
        <v>13</v>
      </c>
      <c r="I37">
        <v>1</v>
      </c>
      <c r="J37">
        <v>5</v>
      </c>
      <c r="K37">
        <v>0.43140000000000001</v>
      </c>
    </row>
    <row r="38" spans="1:11" x14ac:dyDescent="0.25">
      <c r="A38" s="1" t="s">
        <v>556</v>
      </c>
      <c r="B38" s="1" t="s">
        <v>557</v>
      </c>
      <c r="C38">
        <v>165</v>
      </c>
      <c r="D38">
        <v>2</v>
      </c>
      <c r="E38">
        <v>3.6</v>
      </c>
      <c r="F38">
        <v>4.8</v>
      </c>
      <c r="G38">
        <v>0</v>
      </c>
      <c r="H38" s="1" t="s">
        <v>13</v>
      </c>
      <c r="I38">
        <v>1</v>
      </c>
      <c r="J38">
        <v>4</v>
      </c>
      <c r="K38">
        <v>0.47989999999999999</v>
      </c>
    </row>
    <row r="39" spans="1:11" x14ac:dyDescent="0.25">
      <c r="A39" s="1" t="s">
        <v>558</v>
      </c>
      <c r="B39" s="1" t="s">
        <v>559</v>
      </c>
      <c r="C39">
        <v>170</v>
      </c>
      <c r="D39">
        <v>2.95</v>
      </c>
      <c r="E39">
        <v>2.36</v>
      </c>
      <c r="F39">
        <v>3.05</v>
      </c>
      <c r="G39">
        <v>0</v>
      </c>
      <c r="H39" s="1" t="s">
        <v>13</v>
      </c>
      <c r="I39">
        <v>5</v>
      </c>
      <c r="J39">
        <v>6</v>
      </c>
      <c r="K39">
        <v>0.43090000000000001</v>
      </c>
    </row>
    <row r="40" spans="1:11" x14ac:dyDescent="0.25">
      <c r="A40" s="1" t="s">
        <v>560</v>
      </c>
      <c r="B40" s="1" t="s">
        <v>561</v>
      </c>
      <c r="C40">
        <v>175</v>
      </c>
      <c r="D40">
        <v>2.87</v>
      </c>
      <c r="E40">
        <v>2.27</v>
      </c>
      <c r="F40">
        <v>2.76</v>
      </c>
      <c r="G40">
        <v>0</v>
      </c>
      <c r="H40" s="1" t="s">
        <v>13</v>
      </c>
      <c r="I40">
        <v>1</v>
      </c>
      <c r="J40">
        <v>215</v>
      </c>
      <c r="K40">
        <v>0.43009999999999998</v>
      </c>
    </row>
    <row r="41" spans="1:11" x14ac:dyDescent="0.25">
      <c r="A41" s="1" t="s">
        <v>562</v>
      </c>
      <c r="B41" s="1" t="s">
        <v>559</v>
      </c>
      <c r="C41">
        <v>180</v>
      </c>
      <c r="D41">
        <v>2.41</v>
      </c>
      <c r="E41">
        <v>1.82</v>
      </c>
      <c r="F41">
        <v>2.4700000000000002</v>
      </c>
      <c r="G41">
        <v>0</v>
      </c>
      <c r="H41" s="1" t="s">
        <v>13</v>
      </c>
      <c r="I41">
        <v>5</v>
      </c>
      <c r="J41">
        <v>290</v>
      </c>
      <c r="K41">
        <v>0.42820000000000003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3DB5-E5ED-40AE-AB91-3EEF4F0EC15B}">
  <sheetPr codeName="Sheet4"/>
  <dimension ref="A1:K45"/>
  <sheetViews>
    <sheetView topLeftCell="A10" workbookViewId="0">
      <selection activeCell="K22" sqref="K22"/>
    </sheetView>
  </sheetViews>
  <sheetFormatPr defaultRowHeight="15" x14ac:dyDescent="0.25"/>
  <cols>
    <col min="1" max="1" width="20.42578125" bestFit="1" customWidth="1"/>
    <col min="2" max="2" width="22.5703125" bestFit="1" customWidth="1"/>
    <col min="3" max="3" width="8.42578125" bestFit="1" customWidth="1"/>
    <col min="4" max="4" width="11.5703125" bestFit="1" customWidth="1"/>
    <col min="5" max="5" width="6.140625" bestFit="1" customWidth="1"/>
    <col min="6" max="6" width="6.42578125" bestFit="1" customWidth="1"/>
    <col min="7" max="7" width="9.85546875" bestFit="1" customWidth="1"/>
    <col min="8" max="8" width="11.85546875" bestFit="1" customWidth="1"/>
    <col min="9" max="9" width="10.28515625" bestFit="1" customWidth="1"/>
    <col min="10" max="10" width="15.7109375" bestFit="1" customWidth="1"/>
    <col min="11" max="11" width="18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" t="s">
        <v>309</v>
      </c>
      <c r="B2" s="1" t="s">
        <v>310</v>
      </c>
      <c r="C2">
        <v>32.5</v>
      </c>
      <c r="D2">
        <v>47.05</v>
      </c>
      <c r="E2">
        <v>48.7</v>
      </c>
      <c r="F2">
        <v>49.65</v>
      </c>
      <c r="G2">
        <v>0</v>
      </c>
      <c r="H2" s="1" t="s">
        <v>13</v>
      </c>
      <c r="I2">
        <v>1</v>
      </c>
      <c r="J2">
        <v>140</v>
      </c>
      <c r="K2">
        <v>0.69679999999999997</v>
      </c>
    </row>
    <row r="3" spans="1:11" x14ac:dyDescent="0.25">
      <c r="A3" s="1" t="s">
        <v>311</v>
      </c>
      <c r="B3" s="1" t="s">
        <v>312</v>
      </c>
      <c r="C3">
        <v>35</v>
      </c>
      <c r="D3">
        <v>41.5</v>
      </c>
      <c r="E3">
        <v>46.2</v>
      </c>
      <c r="F3">
        <v>47.3</v>
      </c>
      <c r="G3">
        <v>0</v>
      </c>
      <c r="H3" s="1" t="s">
        <v>13</v>
      </c>
      <c r="I3">
        <v>1</v>
      </c>
      <c r="J3">
        <v>39</v>
      </c>
      <c r="K3">
        <v>0.65800000000000003</v>
      </c>
    </row>
    <row r="4" spans="1:11" x14ac:dyDescent="0.25">
      <c r="A4" s="1" t="s">
        <v>313</v>
      </c>
      <c r="B4" s="1" t="s">
        <v>314</v>
      </c>
      <c r="C4">
        <v>37.5</v>
      </c>
      <c r="D4">
        <v>45.89</v>
      </c>
      <c r="E4">
        <v>34.75</v>
      </c>
      <c r="F4">
        <v>36.1</v>
      </c>
      <c r="G4">
        <v>0</v>
      </c>
      <c r="H4" s="1" t="s">
        <v>13</v>
      </c>
      <c r="I4">
        <v>8</v>
      </c>
      <c r="J4">
        <v>29</v>
      </c>
      <c r="K4">
        <v>0</v>
      </c>
    </row>
    <row r="5" spans="1:11" x14ac:dyDescent="0.25">
      <c r="A5" s="1" t="s">
        <v>315</v>
      </c>
      <c r="B5" s="1" t="s">
        <v>316</v>
      </c>
      <c r="C5">
        <v>40</v>
      </c>
      <c r="D5">
        <v>36.25</v>
      </c>
      <c r="E5">
        <v>41.75</v>
      </c>
      <c r="F5">
        <v>42.65</v>
      </c>
      <c r="G5">
        <v>0</v>
      </c>
      <c r="H5" s="1" t="s">
        <v>13</v>
      </c>
      <c r="I5">
        <v>4</v>
      </c>
      <c r="J5">
        <v>282</v>
      </c>
      <c r="K5">
        <v>0.62160000000000004</v>
      </c>
    </row>
    <row r="6" spans="1:11" x14ac:dyDescent="0.25">
      <c r="A6" s="1" t="s">
        <v>317</v>
      </c>
      <c r="B6" s="1" t="s">
        <v>318</v>
      </c>
      <c r="C6">
        <v>42.5</v>
      </c>
      <c r="D6">
        <v>48</v>
      </c>
      <c r="E6">
        <v>35.700000000000003</v>
      </c>
      <c r="F6">
        <v>37.200000000000003</v>
      </c>
      <c r="G6">
        <v>0</v>
      </c>
      <c r="H6" s="1" t="s">
        <v>13</v>
      </c>
      <c r="I6">
        <v>1</v>
      </c>
      <c r="J6">
        <v>8</v>
      </c>
      <c r="K6">
        <v>0</v>
      </c>
    </row>
    <row r="7" spans="1:11" x14ac:dyDescent="0.25">
      <c r="A7" s="1" t="s">
        <v>319</v>
      </c>
      <c r="B7" s="1" t="s">
        <v>320</v>
      </c>
      <c r="C7">
        <v>45</v>
      </c>
      <c r="D7">
        <v>33.85</v>
      </c>
      <c r="E7">
        <v>37.200000000000003</v>
      </c>
      <c r="F7">
        <v>38.1</v>
      </c>
      <c r="G7">
        <v>0</v>
      </c>
      <c r="H7" s="1" t="s">
        <v>13</v>
      </c>
      <c r="I7">
        <v>5</v>
      </c>
      <c r="J7">
        <v>58</v>
      </c>
      <c r="K7">
        <v>0.5776</v>
      </c>
    </row>
    <row r="8" spans="1:11" x14ac:dyDescent="0.25">
      <c r="A8" s="1" t="s">
        <v>321</v>
      </c>
      <c r="B8" s="1" t="s">
        <v>322</v>
      </c>
      <c r="C8">
        <v>47.5</v>
      </c>
      <c r="D8">
        <v>43.15</v>
      </c>
      <c r="E8">
        <v>38.799999999999997</v>
      </c>
      <c r="F8">
        <v>39.950000000000003</v>
      </c>
      <c r="G8">
        <v>0</v>
      </c>
      <c r="H8" s="1" t="s">
        <v>13</v>
      </c>
      <c r="I8">
        <v>5</v>
      </c>
      <c r="J8">
        <v>14</v>
      </c>
      <c r="K8">
        <v>0.83230000000000004</v>
      </c>
    </row>
    <row r="9" spans="1:11" x14ac:dyDescent="0.25">
      <c r="A9" s="1" t="s">
        <v>323</v>
      </c>
      <c r="B9" s="1" t="s">
        <v>324</v>
      </c>
      <c r="C9">
        <v>50</v>
      </c>
      <c r="D9">
        <v>37</v>
      </c>
      <c r="E9">
        <v>33</v>
      </c>
      <c r="F9">
        <v>33.75</v>
      </c>
      <c r="G9">
        <v>0</v>
      </c>
      <c r="H9" s="1" t="s">
        <v>13</v>
      </c>
      <c r="I9">
        <v>1</v>
      </c>
      <c r="J9">
        <v>186</v>
      </c>
      <c r="K9">
        <v>0.5504</v>
      </c>
    </row>
    <row r="10" spans="1:11" x14ac:dyDescent="0.25">
      <c r="A10" s="1" t="s">
        <v>325</v>
      </c>
      <c r="B10" s="1" t="s">
        <v>326</v>
      </c>
      <c r="C10">
        <v>52.5</v>
      </c>
      <c r="D10">
        <v>34.799999999999997</v>
      </c>
      <c r="E10">
        <v>31</v>
      </c>
      <c r="F10">
        <v>31.7</v>
      </c>
      <c r="G10">
        <v>0</v>
      </c>
      <c r="H10" s="1" t="s">
        <v>13</v>
      </c>
      <c r="I10">
        <v>1</v>
      </c>
      <c r="J10">
        <v>25</v>
      </c>
      <c r="K10">
        <v>0.54079999999999995</v>
      </c>
    </row>
    <row r="11" spans="1:11" x14ac:dyDescent="0.25">
      <c r="A11" s="1" t="s">
        <v>327</v>
      </c>
      <c r="B11" s="1" t="s">
        <v>328</v>
      </c>
      <c r="C11">
        <v>55</v>
      </c>
      <c r="D11">
        <v>33.25</v>
      </c>
      <c r="E11">
        <v>28.95</v>
      </c>
      <c r="F11">
        <v>29.65</v>
      </c>
      <c r="G11">
        <v>0</v>
      </c>
      <c r="H11" s="1" t="s">
        <v>13</v>
      </c>
      <c r="I11">
        <v>3</v>
      </c>
      <c r="J11">
        <v>45</v>
      </c>
      <c r="K11">
        <v>0.52659999999999996</v>
      </c>
    </row>
    <row r="12" spans="1:11" x14ac:dyDescent="0.25">
      <c r="A12" s="1" t="s">
        <v>329</v>
      </c>
      <c r="B12" s="1" t="s">
        <v>330</v>
      </c>
      <c r="C12">
        <v>57.5</v>
      </c>
      <c r="D12">
        <v>31.05</v>
      </c>
      <c r="E12">
        <v>27</v>
      </c>
      <c r="F12">
        <v>27.7</v>
      </c>
      <c r="G12">
        <v>0</v>
      </c>
      <c r="H12" s="1" t="s">
        <v>13</v>
      </c>
      <c r="I12">
        <v>8</v>
      </c>
      <c r="J12">
        <v>32</v>
      </c>
      <c r="K12">
        <v>0.51600000000000001</v>
      </c>
    </row>
    <row r="13" spans="1:11" x14ac:dyDescent="0.25">
      <c r="A13" s="1" t="s">
        <v>331</v>
      </c>
      <c r="B13" s="1" t="s">
        <v>328</v>
      </c>
      <c r="C13">
        <v>60</v>
      </c>
      <c r="D13">
        <v>29.22</v>
      </c>
      <c r="E13">
        <v>25.1</v>
      </c>
      <c r="F13">
        <v>25.8</v>
      </c>
      <c r="G13">
        <v>0</v>
      </c>
      <c r="H13" s="1" t="s">
        <v>13</v>
      </c>
      <c r="I13">
        <v>6</v>
      </c>
      <c r="J13">
        <v>88</v>
      </c>
      <c r="K13">
        <v>0.50529999999999997</v>
      </c>
    </row>
    <row r="14" spans="1:11" x14ac:dyDescent="0.25">
      <c r="A14" s="1" t="s">
        <v>332</v>
      </c>
      <c r="B14" s="1" t="s">
        <v>316</v>
      </c>
      <c r="C14">
        <v>62.5</v>
      </c>
      <c r="D14">
        <v>19.75</v>
      </c>
      <c r="E14">
        <v>23.25</v>
      </c>
      <c r="F14">
        <v>24</v>
      </c>
      <c r="G14">
        <v>0</v>
      </c>
      <c r="H14" s="1" t="s">
        <v>13</v>
      </c>
      <c r="I14">
        <v>10</v>
      </c>
      <c r="J14">
        <v>120</v>
      </c>
      <c r="K14">
        <v>0.51359999999999995</v>
      </c>
    </row>
    <row r="15" spans="1:11" x14ac:dyDescent="0.25">
      <c r="A15" s="1" t="s">
        <v>333</v>
      </c>
      <c r="B15" s="1" t="s">
        <v>330</v>
      </c>
      <c r="C15">
        <v>65</v>
      </c>
      <c r="D15">
        <v>25.5</v>
      </c>
      <c r="E15">
        <v>21.5</v>
      </c>
      <c r="F15">
        <v>22.25</v>
      </c>
      <c r="G15">
        <v>0</v>
      </c>
      <c r="H15" s="1" t="s">
        <v>13</v>
      </c>
      <c r="I15">
        <v>1</v>
      </c>
      <c r="J15">
        <v>275</v>
      </c>
      <c r="K15">
        <v>0.50380000000000003</v>
      </c>
    </row>
    <row r="16" spans="1:11" x14ac:dyDescent="0.25">
      <c r="A16" s="1" t="s">
        <v>334</v>
      </c>
      <c r="B16" s="1" t="s">
        <v>335</v>
      </c>
      <c r="C16">
        <v>67.5</v>
      </c>
      <c r="D16">
        <v>19.98</v>
      </c>
      <c r="E16">
        <v>19.899999999999999</v>
      </c>
      <c r="F16">
        <v>20.6</v>
      </c>
      <c r="G16">
        <v>0</v>
      </c>
      <c r="H16" s="1" t="s">
        <v>13</v>
      </c>
      <c r="I16">
        <v>2</v>
      </c>
      <c r="J16">
        <v>58</v>
      </c>
      <c r="K16">
        <v>0.49590000000000001</v>
      </c>
    </row>
    <row r="17" spans="1:11" x14ac:dyDescent="0.25">
      <c r="A17" s="1" t="s">
        <v>336</v>
      </c>
      <c r="B17" s="1" t="s">
        <v>337</v>
      </c>
      <c r="C17">
        <v>70</v>
      </c>
      <c r="D17">
        <v>17.04</v>
      </c>
      <c r="E17">
        <v>18.350000000000001</v>
      </c>
      <c r="F17">
        <v>19.05</v>
      </c>
      <c r="G17">
        <v>0</v>
      </c>
      <c r="H17" s="1" t="s">
        <v>13</v>
      </c>
      <c r="I17">
        <v>1</v>
      </c>
      <c r="J17">
        <v>192</v>
      </c>
      <c r="K17">
        <v>0.4894</v>
      </c>
    </row>
    <row r="18" spans="1:11" x14ac:dyDescent="0.25">
      <c r="A18" s="1" t="s">
        <v>338</v>
      </c>
      <c r="B18" s="1" t="s">
        <v>339</v>
      </c>
      <c r="C18">
        <v>72.5</v>
      </c>
      <c r="D18">
        <v>18.600000000000001</v>
      </c>
      <c r="E18">
        <v>16.899999999999999</v>
      </c>
      <c r="F18">
        <v>17.5</v>
      </c>
      <c r="G18">
        <v>0</v>
      </c>
      <c r="H18" s="1" t="s">
        <v>13</v>
      </c>
      <c r="I18">
        <v>3</v>
      </c>
      <c r="J18">
        <v>303</v>
      </c>
      <c r="K18">
        <v>0.48039999999999999</v>
      </c>
    </row>
    <row r="19" spans="1:11" x14ac:dyDescent="0.25">
      <c r="A19" s="1" t="s">
        <v>340</v>
      </c>
      <c r="B19" s="1" t="s">
        <v>341</v>
      </c>
      <c r="C19">
        <v>75</v>
      </c>
      <c r="D19">
        <v>18.45</v>
      </c>
      <c r="E19">
        <v>15.45</v>
      </c>
      <c r="F19">
        <v>16.100000000000001</v>
      </c>
      <c r="G19">
        <v>0</v>
      </c>
      <c r="H19" s="1" t="s">
        <v>13</v>
      </c>
      <c r="I19">
        <v>3</v>
      </c>
      <c r="J19">
        <v>914</v>
      </c>
      <c r="K19">
        <v>0.47460000000000002</v>
      </c>
    </row>
    <row r="20" spans="1:11" x14ac:dyDescent="0.25">
      <c r="A20" s="1" t="s">
        <v>342</v>
      </c>
      <c r="B20" s="1" t="s">
        <v>343</v>
      </c>
      <c r="C20">
        <v>77.5</v>
      </c>
      <c r="D20">
        <v>15.02</v>
      </c>
      <c r="E20">
        <v>14.25</v>
      </c>
      <c r="F20">
        <v>14.8</v>
      </c>
      <c r="G20">
        <v>0</v>
      </c>
      <c r="H20" s="1" t="s">
        <v>13</v>
      </c>
      <c r="I20">
        <v>4</v>
      </c>
      <c r="J20">
        <v>301</v>
      </c>
      <c r="K20">
        <v>0.46989999999999998</v>
      </c>
    </row>
    <row r="21" spans="1:11" x14ac:dyDescent="0.25">
      <c r="A21" s="1" t="s">
        <v>344</v>
      </c>
      <c r="B21" s="1" t="s">
        <v>345</v>
      </c>
      <c r="C21">
        <v>80</v>
      </c>
      <c r="D21">
        <v>14.65</v>
      </c>
      <c r="E21">
        <v>13</v>
      </c>
      <c r="F21">
        <v>13.55</v>
      </c>
      <c r="G21">
        <v>0</v>
      </c>
      <c r="H21" s="1" t="s">
        <v>13</v>
      </c>
      <c r="I21">
        <v>2</v>
      </c>
      <c r="J21">
        <v>2605</v>
      </c>
      <c r="K21">
        <v>0.46450000000000002</v>
      </c>
    </row>
    <row r="22" spans="1:11" x14ac:dyDescent="0.25">
      <c r="A22" s="1" t="s">
        <v>346</v>
      </c>
      <c r="B22" s="1" t="s">
        <v>20</v>
      </c>
      <c r="C22">
        <v>82.5</v>
      </c>
      <c r="D22">
        <v>13</v>
      </c>
      <c r="E22">
        <v>11.85</v>
      </c>
      <c r="F22">
        <v>12.4</v>
      </c>
      <c r="G22">
        <v>-1.4</v>
      </c>
      <c r="H22" s="1" t="s">
        <v>347</v>
      </c>
      <c r="I22">
        <v>2</v>
      </c>
      <c r="J22">
        <v>696</v>
      </c>
      <c r="K22">
        <v>0.4602</v>
      </c>
    </row>
    <row r="23" spans="1:11" x14ac:dyDescent="0.25">
      <c r="A23" s="1" t="s">
        <v>348</v>
      </c>
      <c r="B23" s="1" t="s">
        <v>349</v>
      </c>
      <c r="C23">
        <v>85</v>
      </c>
      <c r="D23">
        <v>11.05</v>
      </c>
      <c r="E23">
        <v>10.8</v>
      </c>
      <c r="F23">
        <v>11.35</v>
      </c>
      <c r="G23">
        <v>-1.3</v>
      </c>
      <c r="H23" s="1" t="s">
        <v>350</v>
      </c>
      <c r="I23">
        <v>20</v>
      </c>
      <c r="J23">
        <v>2188</v>
      </c>
      <c r="K23">
        <v>0.45700000000000002</v>
      </c>
    </row>
    <row r="24" spans="1:11" x14ac:dyDescent="0.25">
      <c r="A24" s="1" t="s">
        <v>351</v>
      </c>
      <c r="B24" s="1" t="s">
        <v>352</v>
      </c>
      <c r="C24">
        <v>87.5</v>
      </c>
      <c r="D24">
        <v>9.9</v>
      </c>
      <c r="E24">
        <v>9.75</v>
      </c>
      <c r="F24">
        <v>10.3</v>
      </c>
      <c r="G24">
        <v>-0.85</v>
      </c>
      <c r="H24" s="1" t="s">
        <v>353</v>
      </c>
      <c r="I24">
        <v>8</v>
      </c>
      <c r="J24">
        <v>670</v>
      </c>
      <c r="K24">
        <v>0.45150000000000001</v>
      </c>
    </row>
    <row r="25" spans="1:11" x14ac:dyDescent="0.25">
      <c r="A25" s="1" t="s">
        <v>354</v>
      </c>
      <c r="B25" s="1" t="s">
        <v>355</v>
      </c>
      <c r="C25">
        <v>90</v>
      </c>
      <c r="D25">
        <v>9.2200000000000006</v>
      </c>
      <c r="E25">
        <v>8.85</v>
      </c>
      <c r="F25">
        <v>9.35</v>
      </c>
      <c r="G25">
        <v>-0.79</v>
      </c>
      <c r="H25" s="1" t="s">
        <v>356</v>
      </c>
      <c r="I25">
        <v>1</v>
      </c>
      <c r="J25">
        <v>2333</v>
      </c>
      <c r="K25">
        <v>0.44729999999999998</v>
      </c>
    </row>
    <row r="26" spans="1:11" x14ac:dyDescent="0.25">
      <c r="A26" s="1" t="s">
        <v>357</v>
      </c>
      <c r="B26" s="1" t="s">
        <v>358</v>
      </c>
      <c r="C26">
        <v>92.5</v>
      </c>
      <c r="D26">
        <v>9.75</v>
      </c>
      <c r="E26">
        <v>7.95</v>
      </c>
      <c r="F26">
        <v>8.4499999999999993</v>
      </c>
      <c r="G26">
        <v>0</v>
      </c>
      <c r="H26" s="1" t="s">
        <v>13</v>
      </c>
      <c r="I26">
        <v>1</v>
      </c>
      <c r="J26">
        <v>1182</v>
      </c>
      <c r="K26">
        <v>0.4425</v>
      </c>
    </row>
    <row r="27" spans="1:11" x14ac:dyDescent="0.25">
      <c r="A27" s="1" t="s">
        <v>359</v>
      </c>
      <c r="B27" s="1" t="s">
        <v>360</v>
      </c>
      <c r="C27">
        <v>95</v>
      </c>
      <c r="D27">
        <v>7.15</v>
      </c>
      <c r="E27">
        <v>7.2</v>
      </c>
      <c r="F27">
        <v>7.7</v>
      </c>
      <c r="G27">
        <v>-1.25</v>
      </c>
      <c r="H27" s="1" t="s">
        <v>361</v>
      </c>
      <c r="I27">
        <v>6</v>
      </c>
      <c r="J27">
        <v>6399</v>
      </c>
      <c r="K27">
        <v>0.44090000000000001</v>
      </c>
    </row>
    <row r="28" spans="1:11" x14ac:dyDescent="0.25">
      <c r="A28" s="1" t="s">
        <v>362</v>
      </c>
      <c r="B28" s="1" t="s">
        <v>363</v>
      </c>
      <c r="C28">
        <v>97.5</v>
      </c>
      <c r="D28">
        <v>7.63</v>
      </c>
      <c r="E28">
        <v>6.5</v>
      </c>
      <c r="F28">
        <v>6.95</v>
      </c>
      <c r="G28">
        <v>0</v>
      </c>
      <c r="H28" s="1" t="s">
        <v>13</v>
      </c>
      <c r="I28">
        <v>1</v>
      </c>
      <c r="J28">
        <v>1162</v>
      </c>
      <c r="K28">
        <v>0.43730000000000002</v>
      </c>
    </row>
    <row r="29" spans="1:11" x14ac:dyDescent="0.25">
      <c r="A29" s="1" t="s">
        <v>364</v>
      </c>
      <c r="B29" s="1" t="s">
        <v>365</v>
      </c>
      <c r="C29">
        <v>100</v>
      </c>
      <c r="D29">
        <v>5.9</v>
      </c>
      <c r="E29">
        <v>5.85</v>
      </c>
      <c r="F29">
        <v>6.3</v>
      </c>
      <c r="G29">
        <v>-1.1000000000000001</v>
      </c>
      <c r="H29" s="1" t="s">
        <v>366</v>
      </c>
      <c r="I29">
        <v>1</v>
      </c>
      <c r="J29">
        <v>1245</v>
      </c>
      <c r="K29">
        <v>0.43519999999999998</v>
      </c>
    </row>
    <row r="30" spans="1:11" x14ac:dyDescent="0.25">
      <c r="A30" s="1" t="s">
        <v>367</v>
      </c>
      <c r="B30" s="1" t="s">
        <v>363</v>
      </c>
      <c r="C30">
        <v>105</v>
      </c>
      <c r="D30">
        <v>4.97</v>
      </c>
      <c r="E30">
        <v>4.75</v>
      </c>
      <c r="F30">
        <v>5.2</v>
      </c>
      <c r="G30">
        <v>-0.61</v>
      </c>
      <c r="H30" s="1" t="s">
        <v>368</v>
      </c>
      <c r="I30">
        <v>1</v>
      </c>
      <c r="J30">
        <v>615</v>
      </c>
      <c r="K30">
        <v>0.43319999999999997</v>
      </c>
    </row>
    <row r="31" spans="1:11" x14ac:dyDescent="0.25">
      <c r="A31" s="1" t="s">
        <v>369</v>
      </c>
      <c r="B31" s="1" t="s">
        <v>349</v>
      </c>
      <c r="C31">
        <v>110</v>
      </c>
      <c r="D31">
        <v>4.0999999999999996</v>
      </c>
      <c r="E31">
        <v>3.8</v>
      </c>
      <c r="F31">
        <v>4.3499999999999996</v>
      </c>
      <c r="G31">
        <v>-0.47</v>
      </c>
      <c r="H31" s="1" t="s">
        <v>370</v>
      </c>
      <c r="I31">
        <v>15</v>
      </c>
      <c r="J31">
        <v>3032</v>
      </c>
      <c r="K31">
        <v>0.43419999999999997</v>
      </c>
    </row>
    <row r="32" spans="1:11" x14ac:dyDescent="0.25">
      <c r="A32" s="1" t="s">
        <v>371</v>
      </c>
      <c r="B32" s="1" t="s">
        <v>372</v>
      </c>
      <c r="C32">
        <v>115</v>
      </c>
      <c r="D32">
        <v>4.0199999999999996</v>
      </c>
      <c r="E32">
        <v>3</v>
      </c>
      <c r="F32">
        <v>3.6</v>
      </c>
      <c r="G32">
        <v>0</v>
      </c>
      <c r="H32" s="1" t="s">
        <v>13</v>
      </c>
      <c r="I32">
        <v>1</v>
      </c>
      <c r="J32">
        <v>1367</v>
      </c>
      <c r="K32">
        <v>0.4335</v>
      </c>
    </row>
    <row r="33" spans="1:11" x14ac:dyDescent="0.25">
      <c r="A33" s="1" t="s">
        <v>373</v>
      </c>
      <c r="B33" s="1" t="s">
        <v>299</v>
      </c>
      <c r="C33">
        <v>120</v>
      </c>
      <c r="D33">
        <v>2.7</v>
      </c>
      <c r="E33">
        <v>2.4</v>
      </c>
      <c r="F33">
        <v>3</v>
      </c>
      <c r="G33">
        <v>-0.55000000000000004</v>
      </c>
      <c r="H33" s="1" t="s">
        <v>374</v>
      </c>
      <c r="I33">
        <v>7</v>
      </c>
      <c r="J33">
        <v>2430</v>
      </c>
      <c r="K33">
        <v>0.43409999999999999</v>
      </c>
    </row>
    <row r="34" spans="1:11" x14ac:dyDescent="0.25">
      <c r="A34" s="1" t="s">
        <v>375</v>
      </c>
      <c r="B34" s="1" t="s">
        <v>376</v>
      </c>
      <c r="C34">
        <v>125</v>
      </c>
      <c r="D34">
        <v>2.5299999999999998</v>
      </c>
      <c r="E34">
        <v>1.9</v>
      </c>
      <c r="F34">
        <v>2.5099999999999998</v>
      </c>
      <c r="G34">
        <v>0</v>
      </c>
      <c r="H34" s="1" t="s">
        <v>13</v>
      </c>
      <c r="I34">
        <v>1</v>
      </c>
      <c r="J34">
        <v>1579</v>
      </c>
      <c r="K34">
        <v>0.43519999999999998</v>
      </c>
    </row>
    <row r="35" spans="1:11" x14ac:dyDescent="0.25">
      <c r="A35" s="1" t="s">
        <v>377</v>
      </c>
      <c r="B35" s="1" t="s">
        <v>378</v>
      </c>
      <c r="C35">
        <v>130</v>
      </c>
      <c r="D35">
        <v>1.51</v>
      </c>
      <c r="E35">
        <v>1.52</v>
      </c>
      <c r="F35">
        <v>2.15</v>
      </c>
      <c r="G35">
        <v>0</v>
      </c>
      <c r="H35" s="1" t="s">
        <v>13</v>
      </c>
      <c r="I35">
        <v>1</v>
      </c>
      <c r="J35">
        <v>3383</v>
      </c>
      <c r="K35">
        <v>0.43909999999999999</v>
      </c>
    </row>
    <row r="36" spans="1:11" x14ac:dyDescent="0.25">
      <c r="A36" s="1" t="s">
        <v>379</v>
      </c>
      <c r="B36" s="1" t="s">
        <v>380</v>
      </c>
      <c r="C36">
        <v>135</v>
      </c>
      <c r="D36">
        <v>1.91</v>
      </c>
      <c r="E36">
        <v>1.19</v>
      </c>
      <c r="F36">
        <v>1.83</v>
      </c>
      <c r="G36">
        <v>0</v>
      </c>
      <c r="H36" s="1" t="s">
        <v>13</v>
      </c>
      <c r="I36">
        <v>1</v>
      </c>
      <c r="J36">
        <v>1709</v>
      </c>
      <c r="K36">
        <v>0.44169999999999998</v>
      </c>
    </row>
    <row r="37" spans="1:11" x14ac:dyDescent="0.25">
      <c r="A37" s="1" t="s">
        <v>381</v>
      </c>
      <c r="B37" s="1" t="s">
        <v>382</v>
      </c>
      <c r="C37">
        <v>140</v>
      </c>
      <c r="D37">
        <v>1.33</v>
      </c>
      <c r="E37">
        <v>1</v>
      </c>
      <c r="F37">
        <v>1.54</v>
      </c>
      <c r="G37">
        <v>0</v>
      </c>
      <c r="H37" s="1" t="s">
        <v>13</v>
      </c>
      <c r="I37">
        <v>2</v>
      </c>
      <c r="J37">
        <v>147</v>
      </c>
      <c r="K37">
        <v>0.44259999999999999</v>
      </c>
    </row>
    <row r="38" spans="1:11" x14ac:dyDescent="0.25">
      <c r="A38" s="1" t="s">
        <v>383</v>
      </c>
      <c r="B38" s="1" t="s">
        <v>380</v>
      </c>
      <c r="C38">
        <v>145</v>
      </c>
      <c r="D38">
        <v>1.33</v>
      </c>
      <c r="E38">
        <v>0.81</v>
      </c>
      <c r="F38">
        <v>1.3</v>
      </c>
      <c r="G38">
        <v>0</v>
      </c>
      <c r="H38" s="1" t="s">
        <v>13</v>
      </c>
      <c r="I38">
        <v>1</v>
      </c>
      <c r="J38">
        <v>150</v>
      </c>
      <c r="K38">
        <v>0.44390000000000002</v>
      </c>
    </row>
    <row r="39" spans="1:11" x14ac:dyDescent="0.25">
      <c r="A39" s="1" t="s">
        <v>384</v>
      </c>
      <c r="B39" s="1" t="s">
        <v>385</v>
      </c>
      <c r="C39">
        <v>150</v>
      </c>
      <c r="D39">
        <v>1.01</v>
      </c>
      <c r="E39">
        <v>0.61</v>
      </c>
      <c r="F39">
        <v>1.1200000000000001</v>
      </c>
      <c r="G39">
        <v>0</v>
      </c>
      <c r="H39" s="1" t="s">
        <v>13</v>
      </c>
      <c r="I39">
        <v>1</v>
      </c>
      <c r="J39">
        <v>137</v>
      </c>
      <c r="K39">
        <v>0.44679999999999997</v>
      </c>
    </row>
    <row r="40" spans="1:11" x14ac:dyDescent="0.25">
      <c r="A40" s="1" t="s">
        <v>386</v>
      </c>
      <c r="B40" s="1" t="s">
        <v>387</v>
      </c>
      <c r="C40">
        <v>155</v>
      </c>
      <c r="D40">
        <v>0.8</v>
      </c>
      <c r="E40">
        <v>0.56999999999999995</v>
      </c>
      <c r="F40">
        <v>0.93</v>
      </c>
      <c r="G40">
        <v>0</v>
      </c>
      <c r="H40" s="1" t="s">
        <v>13</v>
      </c>
      <c r="I40">
        <v>3</v>
      </c>
      <c r="J40">
        <v>2555</v>
      </c>
      <c r="K40">
        <v>0.4461</v>
      </c>
    </row>
    <row r="41" spans="1:11" x14ac:dyDescent="0.25">
      <c r="A41" s="1" t="s">
        <v>388</v>
      </c>
      <c r="B41" s="1" t="s">
        <v>389</v>
      </c>
      <c r="C41">
        <v>160</v>
      </c>
      <c r="D41">
        <v>0.7</v>
      </c>
      <c r="E41">
        <v>0.46</v>
      </c>
      <c r="F41">
        <v>0.57999999999999996</v>
      </c>
      <c r="G41">
        <v>0</v>
      </c>
      <c r="H41" s="1" t="s">
        <v>13</v>
      </c>
      <c r="I41">
        <v>1</v>
      </c>
      <c r="J41">
        <v>618</v>
      </c>
      <c r="K41">
        <v>0.42209999999999998</v>
      </c>
    </row>
    <row r="42" spans="1:11" x14ac:dyDescent="0.25">
      <c r="A42" s="1" t="s">
        <v>390</v>
      </c>
      <c r="B42" s="1" t="s">
        <v>385</v>
      </c>
      <c r="C42">
        <v>165</v>
      </c>
      <c r="D42">
        <v>0.61</v>
      </c>
      <c r="E42">
        <v>0.33</v>
      </c>
      <c r="F42">
        <v>0.85</v>
      </c>
      <c r="G42">
        <v>0</v>
      </c>
      <c r="H42" s="1" t="s">
        <v>13</v>
      </c>
      <c r="I42">
        <v>6</v>
      </c>
      <c r="J42">
        <v>29</v>
      </c>
      <c r="K42">
        <v>0.46879999999999999</v>
      </c>
    </row>
    <row r="43" spans="1:11" x14ac:dyDescent="0.25">
      <c r="A43" s="1" t="s">
        <v>391</v>
      </c>
      <c r="B43" s="1" t="s">
        <v>392</v>
      </c>
      <c r="C43">
        <v>170</v>
      </c>
      <c r="D43">
        <v>0.5</v>
      </c>
      <c r="E43">
        <v>0.54</v>
      </c>
      <c r="F43">
        <v>1.1299999999999999</v>
      </c>
      <c r="G43">
        <v>0</v>
      </c>
      <c r="H43" s="1" t="s">
        <v>13</v>
      </c>
      <c r="I43">
        <v>2</v>
      </c>
      <c r="J43">
        <v>67</v>
      </c>
      <c r="K43">
        <v>0.51139999999999997</v>
      </c>
    </row>
    <row r="44" spans="1:11" x14ac:dyDescent="0.25">
      <c r="A44" s="1" t="s">
        <v>393</v>
      </c>
      <c r="B44" s="1" t="s">
        <v>394</v>
      </c>
      <c r="C44">
        <v>175</v>
      </c>
      <c r="D44">
        <v>0.52</v>
      </c>
      <c r="E44">
        <v>0.3</v>
      </c>
      <c r="F44">
        <v>0.68</v>
      </c>
      <c r="G44">
        <v>0</v>
      </c>
      <c r="H44" s="1" t="s">
        <v>13</v>
      </c>
      <c r="I44">
        <v>1</v>
      </c>
      <c r="J44">
        <v>17</v>
      </c>
      <c r="K44">
        <v>0.47710000000000002</v>
      </c>
    </row>
    <row r="45" spans="1:11" x14ac:dyDescent="0.25">
      <c r="A45" s="1" t="s">
        <v>395</v>
      </c>
      <c r="B45" s="1" t="s">
        <v>396</v>
      </c>
      <c r="C45">
        <v>180</v>
      </c>
      <c r="D45">
        <v>0.39</v>
      </c>
      <c r="E45">
        <v>0.24</v>
      </c>
      <c r="F45">
        <v>0.59</v>
      </c>
      <c r="G45">
        <v>0</v>
      </c>
      <c r="H45" s="1" t="s">
        <v>13</v>
      </c>
      <c r="I45">
        <v>10</v>
      </c>
      <c r="J45">
        <v>73</v>
      </c>
      <c r="K45">
        <v>0.47799999999999998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92ABD-5686-4607-BA7B-58D09B2C592E}">
  <sheetPr codeName="Sheet5"/>
  <dimension ref="A1:K23"/>
  <sheetViews>
    <sheetView workbookViewId="0">
      <selection activeCell="K14" sqref="K14"/>
    </sheetView>
  </sheetViews>
  <sheetFormatPr defaultRowHeight="15" x14ac:dyDescent="0.25"/>
  <cols>
    <col min="1" max="1" width="20.42578125" bestFit="1" customWidth="1"/>
    <col min="2" max="2" width="22.5703125" bestFit="1" customWidth="1"/>
    <col min="3" max="3" width="8.42578125" bestFit="1" customWidth="1"/>
    <col min="4" max="4" width="11.5703125" bestFit="1" customWidth="1"/>
    <col min="5" max="5" width="6.140625" bestFit="1" customWidth="1"/>
    <col min="6" max="6" width="6.42578125" bestFit="1" customWidth="1"/>
    <col min="7" max="7" width="9.85546875" bestFit="1" customWidth="1"/>
    <col min="8" max="8" width="11.85546875" bestFit="1" customWidth="1"/>
    <col min="9" max="9" width="10.28515625" bestFit="1" customWidth="1"/>
    <col min="10" max="10" width="15.7109375" bestFit="1" customWidth="1"/>
    <col min="11" max="11" width="18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" t="s">
        <v>203</v>
      </c>
      <c r="B2" s="1" t="s">
        <v>204</v>
      </c>
      <c r="C2">
        <v>32.5</v>
      </c>
      <c r="D2">
        <v>47.58</v>
      </c>
      <c r="E2">
        <v>48.1</v>
      </c>
      <c r="F2">
        <v>48.9</v>
      </c>
      <c r="G2">
        <v>0</v>
      </c>
      <c r="H2" s="1" t="s">
        <v>13</v>
      </c>
      <c r="I2">
        <v>30</v>
      </c>
      <c r="J2">
        <v>15</v>
      </c>
      <c r="K2">
        <v>0.73050000000000004</v>
      </c>
    </row>
    <row r="3" spans="1:11" x14ac:dyDescent="0.25">
      <c r="A3" s="1" t="s">
        <v>205</v>
      </c>
      <c r="B3" s="1" t="s">
        <v>206</v>
      </c>
      <c r="C3">
        <v>42.5</v>
      </c>
      <c r="D3">
        <v>35.25</v>
      </c>
      <c r="E3">
        <v>38.4</v>
      </c>
      <c r="F3">
        <v>39.25</v>
      </c>
      <c r="G3">
        <v>0</v>
      </c>
      <c r="H3" s="1" t="s">
        <v>13</v>
      </c>
      <c r="I3">
        <v>3</v>
      </c>
      <c r="J3">
        <v>9</v>
      </c>
      <c r="K3">
        <v>0.61719999999999997</v>
      </c>
    </row>
    <row r="4" spans="1:11" x14ac:dyDescent="0.25">
      <c r="A4" s="1" t="s">
        <v>207</v>
      </c>
      <c r="B4" s="1" t="s">
        <v>208</v>
      </c>
      <c r="C4">
        <v>50</v>
      </c>
      <c r="D4">
        <v>28.52</v>
      </c>
      <c r="E4">
        <v>31.45</v>
      </c>
      <c r="F4">
        <v>32.299999999999997</v>
      </c>
      <c r="G4">
        <v>0</v>
      </c>
      <c r="H4" s="1" t="s">
        <v>13</v>
      </c>
      <c r="I4">
        <v>6</v>
      </c>
      <c r="J4">
        <v>7</v>
      </c>
      <c r="K4">
        <v>0.56520000000000004</v>
      </c>
    </row>
    <row r="5" spans="1:11" x14ac:dyDescent="0.25">
      <c r="A5" s="1" t="s">
        <v>209</v>
      </c>
      <c r="B5" s="1" t="s">
        <v>210</v>
      </c>
      <c r="C5">
        <v>55</v>
      </c>
      <c r="D5">
        <v>16.829999999999998</v>
      </c>
      <c r="E5">
        <v>29.55</v>
      </c>
      <c r="F5">
        <v>31.7</v>
      </c>
      <c r="G5">
        <v>0</v>
      </c>
      <c r="H5" s="1" t="s">
        <v>13</v>
      </c>
      <c r="I5">
        <v>2</v>
      </c>
      <c r="J5">
        <v>2</v>
      </c>
      <c r="K5">
        <v>0.80179999999999996</v>
      </c>
    </row>
    <row r="6" spans="1:11" x14ac:dyDescent="0.25">
      <c r="A6" s="1" t="s">
        <v>211</v>
      </c>
      <c r="B6" s="1" t="s">
        <v>212</v>
      </c>
      <c r="C6">
        <v>60</v>
      </c>
      <c r="D6">
        <v>23.3</v>
      </c>
      <c r="E6">
        <v>22.9</v>
      </c>
      <c r="F6">
        <v>23.6</v>
      </c>
      <c r="G6">
        <v>-4.26</v>
      </c>
      <c r="H6" s="1" t="s">
        <v>213</v>
      </c>
      <c r="I6">
        <v>5</v>
      </c>
      <c r="J6">
        <v>23</v>
      </c>
      <c r="K6">
        <v>0.51170000000000004</v>
      </c>
    </row>
    <row r="7" spans="1:11" x14ac:dyDescent="0.25">
      <c r="A7" s="1" t="s">
        <v>214</v>
      </c>
      <c r="B7" s="1" t="s">
        <v>215</v>
      </c>
      <c r="C7">
        <v>65</v>
      </c>
      <c r="D7">
        <v>20.12</v>
      </c>
      <c r="E7">
        <v>19</v>
      </c>
      <c r="F7">
        <v>19.7</v>
      </c>
      <c r="G7">
        <v>0</v>
      </c>
      <c r="H7" s="1" t="s">
        <v>13</v>
      </c>
      <c r="I7">
        <v>4</v>
      </c>
      <c r="J7">
        <v>27</v>
      </c>
      <c r="K7">
        <v>0.51359999999999995</v>
      </c>
    </row>
    <row r="8" spans="1:11" x14ac:dyDescent="0.25">
      <c r="A8" s="1" t="s">
        <v>216</v>
      </c>
      <c r="B8" s="1" t="s">
        <v>217</v>
      </c>
      <c r="C8">
        <v>67.5</v>
      </c>
      <c r="D8">
        <v>20.71</v>
      </c>
      <c r="E8">
        <v>17.25</v>
      </c>
      <c r="F8">
        <v>17.850000000000001</v>
      </c>
      <c r="G8">
        <v>0</v>
      </c>
      <c r="H8" s="1" t="s">
        <v>13</v>
      </c>
      <c r="I8">
        <v>1</v>
      </c>
      <c r="J8">
        <v>12</v>
      </c>
      <c r="K8">
        <v>0.501</v>
      </c>
    </row>
    <row r="9" spans="1:11" x14ac:dyDescent="0.25">
      <c r="A9" s="1" t="s">
        <v>218</v>
      </c>
      <c r="B9" s="1" t="s">
        <v>219</v>
      </c>
      <c r="C9">
        <v>70</v>
      </c>
      <c r="D9">
        <v>16.72</v>
      </c>
      <c r="E9">
        <v>15.6</v>
      </c>
      <c r="F9">
        <v>16.149999999999999</v>
      </c>
      <c r="G9">
        <v>-0.48</v>
      </c>
      <c r="H9" s="1" t="s">
        <v>220</v>
      </c>
      <c r="I9">
        <v>1</v>
      </c>
      <c r="J9">
        <v>28</v>
      </c>
      <c r="K9">
        <v>0.49280000000000002</v>
      </c>
    </row>
    <row r="10" spans="1:11" x14ac:dyDescent="0.25">
      <c r="A10" s="1" t="s">
        <v>221</v>
      </c>
      <c r="B10" s="1" t="s">
        <v>222</v>
      </c>
      <c r="C10">
        <v>72.5</v>
      </c>
      <c r="D10">
        <v>15.1</v>
      </c>
      <c r="E10">
        <v>13.95</v>
      </c>
      <c r="F10">
        <v>14.5</v>
      </c>
      <c r="G10">
        <v>0</v>
      </c>
      <c r="H10" s="1" t="s">
        <v>13</v>
      </c>
      <c r="I10">
        <v>23</v>
      </c>
      <c r="J10">
        <v>33</v>
      </c>
      <c r="K10">
        <v>0.48280000000000001</v>
      </c>
    </row>
    <row r="11" spans="1:11" x14ac:dyDescent="0.25">
      <c r="A11" s="1" t="s">
        <v>223</v>
      </c>
      <c r="B11" s="1" t="s">
        <v>224</v>
      </c>
      <c r="C11">
        <v>75</v>
      </c>
      <c r="D11">
        <v>12.4</v>
      </c>
      <c r="E11">
        <v>12.5</v>
      </c>
      <c r="F11">
        <v>13</v>
      </c>
      <c r="G11">
        <v>-2.14</v>
      </c>
      <c r="H11" s="1" t="s">
        <v>225</v>
      </c>
      <c r="I11">
        <v>3</v>
      </c>
      <c r="J11">
        <v>28</v>
      </c>
      <c r="K11">
        <v>0.47610000000000002</v>
      </c>
    </row>
    <row r="12" spans="1:11" x14ac:dyDescent="0.25">
      <c r="A12" s="1" t="s">
        <v>226</v>
      </c>
      <c r="B12" s="1" t="s">
        <v>227</v>
      </c>
      <c r="C12">
        <v>77.5</v>
      </c>
      <c r="D12">
        <v>12</v>
      </c>
      <c r="E12">
        <v>11.1</v>
      </c>
      <c r="F12">
        <v>11.6</v>
      </c>
      <c r="G12">
        <v>-0.1</v>
      </c>
      <c r="H12" s="1" t="s">
        <v>228</v>
      </c>
      <c r="I12">
        <v>46</v>
      </c>
      <c r="J12">
        <v>11</v>
      </c>
      <c r="K12">
        <v>0.46970000000000001</v>
      </c>
    </row>
    <row r="13" spans="1:11" x14ac:dyDescent="0.25">
      <c r="A13" s="1" t="s">
        <v>229</v>
      </c>
      <c r="B13" s="1" t="s">
        <v>219</v>
      </c>
      <c r="C13">
        <v>80</v>
      </c>
      <c r="D13">
        <v>10.7</v>
      </c>
      <c r="E13">
        <v>9.8000000000000007</v>
      </c>
      <c r="F13">
        <v>10.35</v>
      </c>
      <c r="G13">
        <v>-0.8</v>
      </c>
      <c r="H13" s="1" t="s">
        <v>230</v>
      </c>
      <c r="I13">
        <v>1</v>
      </c>
      <c r="J13">
        <v>413</v>
      </c>
      <c r="K13">
        <v>0.46589999999999998</v>
      </c>
    </row>
    <row r="14" spans="1:11" x14ac:dyDescent="0.25">
      <c r="A14" s="1" t="s">
        <v>231</v>
      </c>
      <c r="B14" s="1" t="s">
        <v>232</v>
      </c>
      <c r="C14">
        <v>82.5</v>
      </c>
      <c r="D14">
        <v>9</v>
      </c>
      <c r="E14">
        <v>8.65</v>
      </c>
      <c r="F14">
        <v>9.15</v>
      </c>
      <c r="G14">
        <v>-1.1000000000000001</v>
      </c>
      <c r="H14" s="1" t="s">
        <v>233</v>
      </c>
      <c r="I14">
        <v>18</v>
      </c>
      <c r="J14">
        <v>156</v>
      </c>
      <c r="K14">
        <v>0.46</v>
      </c>
    </row>
    <row r="15" spans="1:11" x14ac:dyDescent="0.25">
      <c r="A15" s="1" t="s">
        <v>234</v>
      </c>
      <c r="B15" s="1" t="s">
        <v>235</v>
      </c>
      <c r="C15">
        <v>85</v>
      </c>
      <c r="D15">
        <v>9.67</v>
      </c>
      <c r="E15">
        <v>7.55</v>
      </c>
      <c r="F15">
        <v>8</v>
      </c>
      <c r="G15">
        <v>0</v>
      </c>
      <c r="H15" s="1" t="s">
        <v>13</v>
      </c>
      <c r="I15">
        <v>1</v>
      </c>
      <c r="J15">
        <v>243</v>
      </c>
      <c r="K15">
        <v>0.45219999999999999</v>
      </c>
    </row>
    <row r="16" spans="1:11" x14ac:dyDescent="0.25">
      <c r="A16" s="1" t="s">
        <v>236</v>
      </c>
      <c r="B16" s="1" t="s">
        <v>237</v>
      </c>
      <c r="C16">
        <v>87.5</v>
      </c>
      <c r="D16">
        <v>6.85</v>
      </c>
      <c r="E16">
        <v>6.65</v>
      </c>
      <c r="F16">
        <v>7.05</v>
      </c>
      <c r="G16">
        <v>-1.98</v>
      </c>
      <c r="H16" s="1" t="s">
        <v>238</v>
      </c>
      <c r="I16">
        <v>25</v>
      </c>
      <c r="J16">
        <v>208</v>
      </c>
      <c r="K16">
        <v>0.44919999999999999</v>
      </c>
    </row>
    <row r="17" spans="1:11" x14ac:dyDescent="0.25">
      <c r="A17" s="1" t="s">
        <v>239</v>
      </c>
      <c r="B17" s="1" t="s">
        <v>240</v>
      </c>
      <c r="C17">
        <v>90</v>
      </c>
      <c r="D17">
        <v>6.3</v>
      </c>
      <c r="E17">
        <v>5.8</v>
      </c>
      <c r="F17">
        <v>6.25</v>
      </c>
      <c r="G17">
        <v>-0.8</v>
      </c>
      <c r="H17" s="1" t="s">
        <v>241</v>
      </c>
      <c r="I17">
        <v>2</v>
      </c>
      <c r="J17">
        <v>3091</v>
      </c>
      <c r="K17">
        <v>0.44929999999999998</v>
      </c>
    </row>
    <row r="18" spans="1:11" x14ac:dyDescent="0.25">
      <c r="A18" s="1" t="s">
        <v>242</v>
      </c>
      <c r="B18" s="1" t="s">
        <v>243</v>
      </c>
      <c r="C18">
        <v>95</v>
      </c>
      <c r="D18">
        <v>5.3</v>
      </c>
      <c r="E18">
        <v>4.25</v>
      </c>
      <c r="F18">
        <v>4.75</v>
      </c>
      <c r="G18">
        <v>0</v>
      </c>
      <c r="H18" s="1" t="s">
        <v>13</v>
      </c>
      <c r="I18">
        <v>1</v>
      </c>
      <c r="J18">
        <v>4535</v>
      </c>
      <c r="K18">
        <v>0.44280000000000003</v>
      </c>
    </row>
    <row r="19" spans="1:11" x14ac:dyDescent="0.25">
      <c r="A19" s="1" t="s">
        <v>244</v>
      </c>
      <c r="B19" s="1" t="s">
        <v>245</v>
      </c>
      <c r="C19">
        <v>100</v>
      </c>
      <c r="D19">
        <v>3.43</v>
      </c>
      <c r="E19">
        <v>3.25</v>
      </c>
      <c r="F19">
        <v>3.65</v>
      </c>
      <c r="G19">
        <v>-0.56999999999999995</v>
      </c>
      <c r="H19" s="1" t="s">
        <v>246</v>
      </c>
      <c r="I19">
        <v>1</v>
      </c>
      <c r="J19">
        <v>2252</v>
      </c>
      <c r="K19">
        <v>0.44190000000000002</v>
      </c>
    </row>
    <row r="20" spans="1:11" x14ac:dyDescent="0.25">
      <c r="A20" s="1" t="s">
        <v>247</v>
      </c>
      <c r="B20" s="1" t="s">
        <v>248</v>
      </c>
      <c r="C20">
        <v>105</v>
      </c>
      <c r="D20">
        <v>3</v>
      </c>
      <c r="E20">
        <v>2.29</v>
      </c>
      <c r="F20">
        <v>2.66</v>
      </c>
      <c r="G20">
        <v>0</v>
      </c>
      <c r="H20" s="1" t="s">
        <v>13</v>
      </c>
      <c r="I20">
        <v>1</v>
      </c>
      <c r="J20">
        <v>521</v>
      </c>
      <c r="K20">
        <v>0.4335</v>
      </c>
    </row>
    <row r="21" spans="1:11" x14ac:dyDescent="0.25">
      <c r="A21" s="1" t="s">
        <v>249</v>
      </c>
      <c r="B21" s="1" t="s">
        <v>250</v>
      </c>
      <c r="C21">
        <v>110</v>
      </c>
      <c r="D21">
        <v>2.46</v>
      </c>
      <c r="E21">
        <v>1.68</v>
      </c>
      <c r="F21">
        <v>2.27</v>
      </c>
      <c r="G21">
        <v>0</v>
      </c>
      <c r="H21" s="1" t="s">
        <v>13</v>
      </c>
      <c r="I21">
        <v>5</v>
      </c>
      <c r="J21">
        <v>175</v>
      </c>
      <c r="K21">
        <v>0.45119999999999999</v>
      </c>
    </row>
    <row r="22" spans="1:11" x14ac:dyDescent="0.25">
      <c r="A22" s="1" t="s">
        <v>251</v>
      </c>
      <c r="B22" s="1" t="s">
        <v>252</v>
      </c>
      <c r="C22">
        <v>115</v>
      </c>
      <c r="D22">
        <v>1.35</v>
      </c>
      <c r="E22">
        <v>1.18</v>
      </c>
      <c r="F22">
        <v>1.63</v>
      </c>
      <c r="G22">
        <v>-0.28000000000000003</v>
      </c>
      <c r="H22" s="1" t="s">
        <v>253</v>
      </c>
      <c r="I22">
        <v>1</v>
      </c>
      <c r="J22">
        <v>13</v>
      </c>
      <c r="K22">
        <v>0.44280000000000003</v>
      </c>
    </row>
    <row r="23" spans="1:11" x14ac:dyDescent="0.25">
      <c r="A23" s="1" t="s">
        <v>254</v>
      </c>
      <c r="B23" s="1" t="s">
        <v>255</v>
      </c>
      <c r="C23">
        <v>120</v>
      </c>
      <c r="D23">
        <v>1.1499999999999999</v>
      </c>
      <c r="E23">
        <v>0.88</v>
      </c>
      <c r="F23">
        <v>1.45</v>
      </c>
      <c r="G23">
        <v>-0.42</v>
      </c>
      <c r="H23" s="1" t="s">
        <v>256</v>
      </c>
      <c r="I23">
        <v>1</v>
      </c>
      <c r="J23">
        <v>107</v>
      </c>
      <c r="K23">
        <v>0.4622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89F2C-F5EA-4FB7-9F6B-0514DC6C9519}">
  <sheetPr codeName="Sheet6"/>
  <dimension ref="A1:K39"/>
  <sheetViews>
    <sheetView workbookViewId="0">
      <selection activeCell="K16" sqref="K16"/>
    </sheetView>
  </sheetViews>
  <sheetFormatPr defaultRowHeight="15" x14ac:dyDescent="0.25"/>
  <cols>
    <col min="1" max="1" width="20.42578125" bestFit="1" customWidth="1"/>
    <col min="2" max="2" width="22.5703125" bestFit="1" customWidth="1"/>
    <col min="3" max="3" width="8.42578125" bestFit="1" customWidth="1"/>
    <col min="4" max="4" width="11.5703125" bestFit="1" customWidth="1"/>
    <col min="5" max="5" width="6.140625" bestFit="1" customWidth="1"/>
    <col min="6" max="6" width="6.42578125" bestFit="1" customWidth="1"/>
    <col min="7" max="7" width="9.85546875" bestFit="1" customWidth="1"/>
    <col min="8" max="8" width="11.85546875" bestFit="1" customWidth="1"/>
    <col min="9" max="9" width="10.28515625" bestFit="1" customWidth="1"/>
    <col min="10" max="10" width="15.7109375" bestFit="1" customWidth="1"/>
    <col min="11" max="11" width="18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" t="s">
        <v>397</v>
      </c>
      <c r="B2" s="1" t="s">
        <v>107</v>
      </c>
      <c r="C2">
        <v>37.5</v>
      </c>
      <c r="D2">
        <v>47</v>
      </c>
      <c r="E2">
        <v>42.85</v>
      </c>
      <c r="F2">
        <v>43.65</v>
      </c>
      <c r="G2">
        <v>0</v>
      </c>
      <c r="H2" s="1" t="s">
        <v>13</v>
      </c>
      <c r="I2">
        <v>48</v>
      </c>
      <c r="J2">
        <v>64</v>
      </c>
      <c r="K2">
        <v>0.73050000000000004</v>
      </c>
    </row>
    <row r="3" spans="1:11" x14ac:dyDescent="0.25">
      <c r="A3" s="1" t="s">
        <v>398</v>
      </c>
      <c r="B3" s="1" t="s">
        <v>399</v>
      </c>
      <c r="C3">
        <v>40</v>
      </c>
      <c r="D3">
        <v>35</v>
      </c>
      <c r="E3">
        <v>40.5</v>
      </c>
      <c r="F3">
        <v>41.3</v>
      </c>
      <c r="G3">
        <v>0</v>
      </c>
      <c r="H3" s="1" t="s">
        <v>13</v>
      </c>
      <c r="I3">
        <v>2</v>
      </c>
      <c r="J3">
        <v>1</v>
      </c>
      <c r="K3">
        <v>0.80859999999999999</v>
      </c>
    </row>
    <row r="4" spans="1:11" x14ac:dyDescent="0.25">
      <c r="A4" s="1" t="s">
        <v>400</v>
      </c>
      <c r="B4" s="1" t="s">
        <v>401</v>
      </c>
      <c r="C4">
        <v>45</v>
      </c>
      <c r="D4">
        <v>33.85</v>
      </c>
      <c r="E4">
        <v>35.4</v>
      </c>
      <c r="F4">
        <v>36.25</v>
      </c>
      <c r="G4">
        <v>0</v>
      </c>
      <c r="H4" s="1" t="s">
        <v>13</v>
      </c>
      <c r="I4">
        <v>11</v>
      </c>
      <c r="J4">
        <v>15</v>
      </c>
      <c r="K4">
        <v>0.63870000000000005</v>
      </c>
    </row>
    <row r="5" spans="1:11" x14ac:dyDescent="0.25">
      <c r="A5" s="1" t="s">
        <v>402</v>
      </c>
      <c r="B5" s="1" t="s">
        <v>403</v>
      </c>
      <c r="C5">
        <v>50</v>
      </c>
      <c r="D5">
        <v>28.82</v>
      </c>
      <c r="E5">
        <v>30.8</v>
      </c>
      <c r="F5">
        <v>31.4</v>
      </c>
      <c r="G5">
        <v>0</v>
      </c>
      <c r="H5" s="1" t="s">
        <v>13</v>
      </c>
      <c r="I5">
        <v>1</v>
      </c>
      <c r="J5">
        <v>32</v>
      </c>
      <c r="K5">
        <v>0.65480000000000005</v>
      </c>
    </row>
    <row r="6" spans="1:11" x14ac:dyDescent="0.25">
      <c r="A6" s="1" t="s">
        <v>404</v>
      </c>
      <c r="B6" s="1" t="s">
        <v>401</v>
      </c>
      <c r="C6">
        <v>55</v>
      </c>
      <c r="D6">
        <v>24.38</v>
      </c>
      <c r="E6">
        <v>26</v>
      </c>
      <c r="F6">
        <v>26.4</v>
      </c>
      <c r="G6">
        <v>0</v>
      </c>
      <c r="H6" s="1" t="s">
        <v>13</v>
      </c>
      <c r="I6">
        <v>171</v>
      </c>
      <c r="J6">
        <v>81</v>
      </c>
      <c r="K6">
        <v>0.57079999999999997</v>
      </c>
    </row>
    <row r="7" spans="1:11" x14ac:dyDescent="0.25">
      <c r="A7" s="1" t="s">
        <v>405</v>
      </c>
      <c r="B7" s="1" t="s">
        <v>406</v>
      </c>
      <c r="C7">
        <v>60</v>
      </c>
      <c r="D7">
        <v>22.05</v>
      </c>
      <c r="E7">
        <v>21.3</v>
      </c>
      <c r="F7">
        <v>21.75</v>
      </c>
      <c r="G7">
        <v>6.05</v>
      </c>
      <c r="H7" s="1" t="s">
        <v>407</v>
      </c>
      <c r="I7">
        <v>10</v>
      </c>
      <c r="J7">
        <v>71</v>
      </c>
      <c r="K7">
        <v>0.52710000000000001</v>
      </c>
    </row>
    <row r="8" spans="1:11" x14ac:dyDescent="0.25">
      <c r="A8" s="1" t="s">
        <v>408</v>
      </c>
      <c r="B8" s="1" t="s">
        <v>409</v>
      </c>
      <c r="C8">
        <v>62.5</v>
      </c>
      <c r="D8">
        <v>19.399999999999999</v>
      </c>
      <c r="E8">
        <v>19.05</v>
      </c>
      <c r="F8">
        <v>19.5</v>
      </c>
      <c r="G8">
        <v>1.3</v>
      </c>
      <c r="H8" s="1" t="s">
        <v>410</v>
      </c>
      <c r="I8">
        <v>2</v>
      </c>
      <c r="J8">
        <v>3</v>
      </c>
      <c r="K8">
        <v>0.50949999999999995</v>
      </c>
    </row>
    <row r="9" spans="1:11" x14ac:dyDescent="0.25">
      <c r="A9" s="1" t="s">
        <v>411</v>
      </c>
      <c r="B9" s="1" t="s">
        <v>412</v>
      </c>
      <c r="C9">
        <v>65</v>
      </c>
      <c r="D9">
        <v>18.61</v>
      </c>
      <c r="E9">
        <v>17.05</v>
      </c>
      <c r="F9">
        <v>17.45</v>
      </c>
      <c r="G9">
        <v>-2.2400000000000002</v>
      </c>
      <c r="H9" s="1" t="s">
        <v>413</v>
      </c>
      <c r="I9">
        <v>2</v>
      </c>
      <c r="J9">
        <v>155</v>
      </c>
      <c r="K9">
        <v>0.51219999999999999</v>
      </c>
    </row>
    <row r="10" spans="1:11" x14ac:dyDescent="0.25">
      <c r="A10" s="1" t="s">
        <v>414</v>
      </c>
      <c r="B10" s="1" t="s">
        <v>415</v>
      </c>
      <c r="C10">
        <v>67.5</v>
      </c>
      <c r="D10">
        <v>17.95</v>
      </c>
      <c r="E10">
        <v>15</v>
      </c>
      <c r="F10">
        <v>15.35</v>
      </c>
      <c r="G10">
        <v>0</v>
      </c>
      <c r="H10" s="1" t="s">
        <v>13</v>
      </c>
      <c r="I10">
        <v>1</v>
      </c>
      <c r="J10">
        <v>28</v>
      </c>
      <c r="K10">
        <v>0.51490000000000002</v>
      </c>
    </row>
    <row r="11" spans="1:11" x14ac:dyDescent="0.25">
      <c r="A11" s="1" t="s">
        <v>416</v>
      </c>
      <c r="B11" s="1" t="s">
        <v>417</v>
      </c>
      <c r="C11">
        <v>70</v>
      </c>
      <c r="D11">
        <v>16.850000000000001</v>
      </c>
      <c r="E11">
        <v>13.1</v>
      </c>
      <c r="F11">
        <v>13.35</v>
      </c>
      <c r="G11">
        <v>0</v>
      </c>
      <c r="H11" s="1" t="s">
        <v>13</v>
      </c>
      <c r="I11">
        <v>3</v>
      </c>
      <c r="J11">
        <v>90</v>
      </c>
      <c r="K11">
        <v>0.49609999999999999</v>
      </c>
    </row>
    <row r="12" spans="1:11" x14ac:dyDescent="0.25">
      <c r="A12" s="1" t="s">
        <v>418</v>
      </c>
      <c r="B12" s="1" t="s">
        <v>419</v>
      </c>
      <c r="C12">
        <v>72.5</v>
      </c>
      <c r="D12">
        <v>11.6</v>
      </c>
      <c r="E12">
        <v>11.35</v>
      </c>
      <c r="F12">
        <v>11.55</v>
      </c>
      <c r="G12">
        <v>-2.4</v>
      </c>
      <c r="H12" s="1" t="s">
        <v>420</v>
      </c>
      <c r="I12">
        <v>1</v>
      </c>
      <c r="J12">
        <v>55</v>
      </c>
      <c r="K12">
        <v>0.48609999999999998</v>
      </c>
    </row>
    <row r="13" spans="1:11" x14ac:dyDescent="0.25">
      <c r="A13" s="1" t="s">
        <v>421</v>
      </c>
      <c r="B13" s="1" t="s">
        <v>276</v>
      </c>
      <c r="C13">
        <v>75</v>
      </c>
      <c r="D13">
        <v>10</v>
      </c>
      <c r="E13">
        <v>9.65</v>
      </c>
      <c r="F13">
        <v>9.9</v>
      </c>
      <c r="G13">
        <v>-2.35</v>
      </c>
      <c r="H13" s="1" t="s">
        <v>422</v>
      </c>
      <c r="I13">
        <v>15</v>
      </c>
      <c r="J13">
        <v>951</v>
      </c>
      <c r="K13">
        <v>0.4783</v>
      </c>
    </row>
    <row r="14" spans="1:11" x14ac:dyDescent="0.25">
      <c r="A14" s="1" t="s">
        <v>423</v>
      </c>
      <c r="B14" s="1" t="s">
        <v>424</v>
      </c>
      <c r="C14">
        <v>77.5</v>
      </c>
      <c r="D14">
        <v>9.84</v>
      </c>
      <c r="E14">
        <v>8.15</v>
      </c>
      <c r="F14">
        <v>8.4499999999999993</v>
      </c>
      <c r="G14">
        <v>0</v>
      </c>
      <c r="H14" s="1" t="s">
        <v>13</v>
      </c>
      <c r="I14">
        <v>1</v>
      </c>
      <c r="J14">
        <v>475</v>
      </c>
      <c r="K14">
        <v>0.47499999999999998</v>
      </c>
    </row>
    <row r="15" spans="1:11" x14ac:dyDescent="0.25">
      <c r="A15" s="1" t="s">
        <v>425</v>
      </c>
      <c r="B15" s="1" t="s">
        <v>426</v>
      </c>
      <c r="C15">
        <v>80</v>
      </c>
      <c r="D15">
        <v>7.6</v>
      </c>
      <c r="E15">
        <v>6.9</v>
      </c>
      <c r="F15">
        <v>7.1</v>
      </c>
      <c r="G15">
        <v>-0.92</v>
      </c>
      <c r="H15" s="1" t="s">
        <v>427</v>
      </c>
      <c r="I15">
        <v>13</v>
      </c>
      <c r="J15">
        <v>488</v>
      </c>
      <c r="K15">
        <v>0.46850000000000003</v>
      </c>
    </row>
    <row r="16" spans="1:11" x14ac:dyDescent="0.25">
      <c r="A16" s="1" t="s">
        <v>428</v>
      </c>
      <c r="B16" s="1" t="s">
        <v>429</v>
      </c>
      <c r="C16">
        <v>82.5</v>
      </c>
      <c r="D16">
        <v>5.95</v>
      </c>
      <c r="E16">
        <v>5.75</v>
      </c>
      <c r="F16">
        <v>5.85</v>
      </c>
      <c r="G16">
        <v>-1.54</v>
      </c>
      <c r="H16" s="1" t="s">
        <v>430</v>
      </c>
      <c r="I16">
        <v>34</v>
      </c>
      <c r="J16">
        <v>312</v>
      </c>
      <c r="K16">
        <v>0.45900000000000002</v>
      </c>
    </row>
    <row r="17" spans="1:11" x14ac:dyDescent="0.25">
      <c r="A17" s="1" t="s">
        <v>431</v>
      </c>
      <c r="B17" s="1" t="s">
        <v>432</v>
      </c>
      <c r="C17">
        <v>85</v>
      </c>
      <c r="D17">
        <v>4.8</v>
      </c>
      <c r="E17">
        <v>4.7</v>
      </c>
      <c r="F17">
        <v>4.8499999999999996</v>
      </c>
      <c r="G17">
        <v>-1.35</v>
      </c>
      <c r="H17" s="1" t="s">
        <v>433</v>
      </c>
      <c r="I17">
        <v>9</v>
      </c>
      <c r="J17">
        <v>965</v>
      </c>
      <c r="K17">
        <v>0.45700000000000002</v>
      </c>
    </row>
    <row r="18" spans="1:11" x14ac:dyDescent="0.25">
      <c r="A18" s="1" t="s">
        <v>434</v>
      </c>
      <c r="B18" s="1" t="s">
        <v>435</v>
      </c>
      <c r="C18">
        <v>87.5</v>
      </c>
      <c r="D18">
        <v>4.25</v>
      </c>
      <c r="E18">
        <v>3.85</v>
      </c>
      <c r="F18">
        <v>3.95</v>
      </c>
      <c r="G18">
        <v>-1</v>
      </c>
      <c r="H18" s="1" t="s">
        <v>436</v>
      </c>
      <c r="I18">
        <v>2</v>
      </c>
      <c r="J18">
        <v>135</v>
      </c>
      <c r="K18">
        <v>0.45250000000000001</v>
      </c>
    </row>
    <row r="19" spans="1:11" x14ac:dyDescent="0.25">
      <c r="A19" s="1" t="s">
        <v>437</v>
      </c>
      <c r="B19" s="1" t="s">
        <v>438</v>
      </c>
      <c r="C19">
        <v>90</v>
      </c>
      <c r="D19">
        <v>3.2</v>
      </c>
      <c r="E19">
        <v>3.15</v>
      </c>
      <c r="F19">
        <v>3.25</v>
      </c>
      <c r="G19">
        <v>-1.1299999999999999</v>
      </c>
      <c r="H19" s="1" t="s">
        <v>439</v>
      </c>
      <c r="I19">
        <v>57</v>
      </c>
      <c r="J19">
        <v>613</v>
      </c>
      <c r="K19">
        <v>0.45350000000000001</v>
      </c>
    </row>
    <row r="20" spans="1:11" x14ac:dyDescent="0.25">
      <c r="A20" s="1" t="s">
        <v>440</v>
      </c>
      <c r="B20" s="1" t="s">
        <v>441</v>
      </c>
      <c r="C20">
        <v>92.5</v>
      </c>
      <c r="D20">
        <v>2.75</v>
      </c>
      <c r="E20">
        <v>2.54</v>
      </c>
      <c r="F20">
        <v>2.64</v>
      </c>
      <c r="G20">
        <v>-0.75</v>
      </c>
      <c r="H20" s="1" t="s">
        <v>303</v>
      </c>
      <c r="I20">
        <v>7</v>
      </c>
      <c r="J20">
        <v>268</v>
      </c>
      <c r="K20">
        <v>0.45290000000000002</v>
      </c>
    </row>
    <row r="21" spans="1:11" x14ac:dyDescent="0.25">
      <c r="A21" s="1" t="s">
        <v>442</v>
      </c>
      <c r="B21" s="1" t="s">
        <v>443</v>
      </c>
      <c r="C21">
        <v>95</v>
      </c>
      <c r="D21">
        <v>2</v>
      </c>
      <c r="E21">
        <v>2.0499999999999998</v>
      </c>
      <c r="F21">
        <v>2.12</v>
      </c>
      <c r="G21">
        <v>-0.53</v>
      </c>
      <c r="H21" s="1" t="s">
        <v>444</v>
      </c>
      <c r="I21">
        <v>17</v>
      </c>
      <c r="J21">
        <v>261</v>
      </c>
      <c r="K21">
        <v>0.45140000000000002</v>
      </c>
    </row>
    <row r="22" spans="1:11" x14ac:dyDescent="0.25">
      <c r="A22" s="1" t="s">
        <v>445</v>
      </c>
      <c r="B22" s="1" t="s">
        <v>446</v>
      </c>
      <c r="C22">
        <v>97.5</v>
      </c>
      <c r="D22">
        <v>1.91</v>
      </c>
      <c r="E22">
        <v>1.65</v>
      </c>
      <c r="F22">
        <v>1.7</v>
      </c>
      <c r="G22">
        <v>-0.51</v>
      </c>
      <c r="H22" s="1" t="s">
        <v>447</v>
      </c>
      <c r="I22">
        <v>1</v>
      </c>
      <c r="J22">
        <v>526</v>
      </c>
      <c r="K22">
        <v>0.45090000000000002</v>
      </c>
    </row>
    <row r="23" spans="1:11" x14ac:dyDescent="0.25">
      <c r="A23" s="1" t="s">
        <v>448</v>
      </c>
      <c r="B23" s="1" t="s">
        <v>449</v>
      </c>
      <c r="C23">
        <v>100</v>
      </c>
      <c r="D23">
        <v>1.35</v>
      </c>
      <c r="E23">
        <v>1.32</v>
      </c>
      <c r="F23">
        <v>1.38</v>
      </c>
      <c r="G23">
        <v>-0.56000000000000005</v>
      </c>
      <c r="H23" s="1" t="s">
        <v>450</v>
      </c>
      <c r="I23">
        <v>4</v>
      </c>
      <c r="J23">
        <v>807</v>
      </c>
      <c r="K23">
        <v>0.45340000000000003</v>
      </c>
    </row>
    <row r="24" spans="1:11" x14ac:dyDescent="0.25">
      <c r="A24" s="1" t="s">
        <v>451</v>
      </c>
      <c r="B24" s="1" t="s">
        <v>452</v>
      </c>
      <c r="C24">
        <v>105</v>
      </c>
      <c r="D24">
        <v>0.87</v>
      </c>
      <c r="E24">
        <v>0.87</v>
      </c>
      <c r="F24">
        <v>0.92</v>
      </c>
      <c r="G24">
        <v>-0.24</v>
      </c>
      <c r="H24" s="1" t="s">
        <v>453</v>
      </c>
      <c r="I24">
        <v>173</v>
      </c>
      <c r="J24">
        <v>1041</v>
      </c>
      <c r="K24">
        <v>0.4602</v>
      </c>
    </row>
    <row r="25" spans="1:11" x14ac:dyDescent="0.25">
      <c r="A25" s="1" t="s">
        <v>454</v>
      </c>
      <c r="B25" s="1" t="s">
        <v>455</v>
      </c>
      <c r="C25">
        <v>110</v>
      </c>
      <c r="D25">
        <v>0.56999999999999995</v>
      </c>
      <c r="E25">
        <v>0.59</v>
      </c>
      <c r="F25">
        <v>0.63</v>
      </c>
      <c r="G25">
        <v>-0.2</v>
      </c>
      <c r="H25" s="1" t="s">
        <v>456</v>
      </c>
      <c r="I25">
        <v>5</v>
      </c>
      <c r="J25">
        <v>689</v>
      </c>
      <c r="K25">
        <v>0.46970000000000001</v>
      </c>
    </row>
    <row r="26" spans="1:11" x14ac:dyDescent="0.25">
      <c r="A26" s="1" t="s">
        <v>457</v>
      </c>
      <c r="B26" s="1" t="s">
        <v>458</v>
      </c>
      <c r="C26">
        <v>115</v>
      </c>
      <c r="D26">
        <v>0.43</v>
      </c>
      <c r="E26">
        <v>0.41</v>
      </c>
      <c r="F26">
        <v>0.44</v>
      </c>
      <c r="G26">
        <v>-0.13</v>
      </c>
      <c r="H26" s="1" t="s">
        <v>459</v>
      </c>
      <c r="I26">
        <v>1</v>
      </c>
      <c r="J26">
        <v>116</v>
      </c>
      <c r="K26">
        <v>0.48020000000000002</v>
      </c>
    </row>
    <row r="27" spans="1:11" x14ac:dyDescent="0.25">
      <c r="A27" s="1" t="s">
        <v>460</v>
      </c>
      <c r="B27" s="1" t="s">
        <v>461</v>
      </c>
      <c r="C27">
        <v>120</v>
      </c>
      <c r="D27">
        <v>0.37</v>
      </c>
      <c r="E27">
        <v>0.27</v>
      </c>
      <c r="F27">
        <v>0.37</v>
      </c>
      <c r="G27">
        <v>0</v>
      </c>
      <c r="H27" s="1" t="s">
        <v>13</v>
      </c>
      <c r="I27">
        <v>12</v>
      </c>
      <c r="J27">
        <v>528</v>
      </c>
      <c r="K27">
        <v>0.50639999999999996</v>
      </c>
    </row>
    <row r="28" spans="1:11" x14ac:dyDescent="0.25">
      <c r="A28" s="1" t="s">
        <v>462</v>
      </c>
      <c r="B28" s="1" t="s">
        <v>463</v>
      </c>
      <c r="C28">
        <v>125</v>
      </c>
      <c r="D28">
        <v>0.36</v>
      </c>
      <c r="E28">
        <v>0.18</v>
      </c>
      <c r="F28">
        <v>0.38</v>
      </c>
      <c r="G28">
        <v>0</v>
      </c>
      <c r="H28" s="1" t="s">
        <v>13</v>
      </c>
      <c r="I28">
        <v>14</v>
      </c>
      <c r="J28">
        <v>297</v>
      </c>
      <c r="K28">
        <v>0.52</v>
      </c>
    </row>
    <row r="29" spans="1:11" x14ac:dyDescent="0.25">
      <c r="A29" s="1" t="s">
        <v>464</v>
      </c>
      <c r="B29" s="1" t="s">
        <v>465</v>
      </c>
      <c r="C29">
        <v>130</v>
      </c>
      <c r="D29">
        <v>0.22</v>
      </c>
      <c r="E29">
        <v>0.12</v>
      </c>
      <c r="F29">
        <v>0.3</v>
      </c>
      <c r="G29">
        <v>0</v>
      </c>
      <c r="H29" s="1" t="s">
        <v>13</v>
      </c>
      <c r="I29">
        <v>2</v>
      </c>
      <c r="J29">
        <v>298</v>
      </c>
      <c r="K29">
        <v>0.53129999999999999</v>
      </c>
    </row>
    <row r="30" spans="1:11" x14ac:dyDescent="0.25">
      <c r="A30" s="1" t="s">
        <v>466</v>
      </c>
      <c r="B30" s="1" t="s">
        <v>467</v>
      </c>
      <c r="C30">
        <v>135</v>
      </c>
      <c r="D30">
        <v>0.86</v>
      </c>
      <c r="E30">
        <v>0.11</v>
      </c>
      <c r="F30">
        <v>0.66</v>
      </c>
      <c r="G30">
        <v>0</v>
      </c>
      <c r="H30" s="1" t="s">
        <v>13</v>
      </c>
      <c r="I30">
        <v>7</v>
      </c>
      <c r="J30">
        <v>19</v>
      </c>
      <c r="K30">
        <v>0.62450000000000006</v>
      </c>
    </row>
    <row r="31" spans="1:11" x14ac:dyDescent="0.25">
      <c r="A31" s="1" t="s">
        <v>468</v>
      </c>
      <c r="B31" s="1" t="s">
        <v>469</v>
      </c>
      <c r="C31">
        <v>140</v>
      </c>
      <c r="D31">
        <v>0.15</v>
      </c>
      <c r="E31">
        <v>0.05</v>
      </c>
      <c r="F31">
        <v>0.32</v>
      </c>
      <c r="G31">
        <v>0</v>
      </c>
      <c r="H31" s="1" t="s">
        <v>13</v>
      </c>
      <c r="I31">
        <v>5</v>
      </c>
      <c r="J31">
        <v>89</v>
      </c>
      <c r="K31">
        <v>0.58589999999999998</v>
      </c>
    </row>
    <row r="32" spans="1:11" x14ac:dyDescent="0.25">
      <c r="A32" s="1" t="s">
        <v>470</v>
      </c>
      <c r="B32" s="1" t="s">
        <v>471</v>
      </c>
      <c r="C32">
        <v>145</v>
      </c>
      <c r="D32">
        <v>0.65</v>
      </c>
      <c r="E32">
        <v>0.04</v>
      </c>
      <c r="F32">
        <v>0.18</v>
      </c>
      <c r="G32">
        <v>0</v>
      </c>
      <c r="H32" s="1" t="s">
        <v>13</v>
      </c>
      <c r="I32">
        <v>74</v>
      </c>
      <c r="J32">
        <v>291</v>
      </c>
      <c r="K32">
        <v>0.57230000000000003</v>
      </c>
    </row>
    <row r="33" spans="1:11" x14ac:dyDescent="0.25">
      <c r="A33" s="1" t="s">
        <v>472</v>
      </c>
      <c r="B33" s="1" t="s">
        <v>473</v>
      </c>
      <c r="C33">
        <v>150</v>
      </c>
      <c r="D33">
        <v>0.02</v>
      </c>
      <c r="E33">
        <v>0</v>
      </c>
      <c r="F33">
        <v>0.2</v>
      </c>
      <c r="G33">
        <v>0</v>
      </c>
      <c r="H33" s="1" t="s">
        <v>13</v>
      </c>
      <c r="I33">
        <v>4</v>
      </c>
      <c r="J33">
        <v>79</v>
      </c>
      <c r="K33">
        <v>0.59279999999999999</v>
      </c>
    </row>
    <row r="34" spans="1:11" x14ac:dyDescent="0.25">
      <c r="A34" s="1" t="s">
        <v>474</v>
      </c>
      <c r="B34" s="1" t="s">
        <v>475</v>
      </c>
      <c r="C34">
        <v>155</v>
      </c>
      <c r="D34">
        <v>0.42</v>
      </c>
      <c r="E34">
        <v>0.05</v>
      </c>
      <c r="F34">
        <v>0.25</v>
      </c>
      <c r="G34">
        <v>0</v>
      </c>
      <c r="H34" s="1" t="s">
        <v>13</v>
      </c>
      <c r="I34">
        <v>2</v>
      </c>
      <c r="J34">
        <v>62</v>
      </c>
      <c r="K34">
        <v>0.65229999999999999</v>
      </c>
    </row>
    <row r="35" spans="1:11" x14ac:dyDescent="0.25">
      <c r="A35" s="1" t="s">
        <v>476</v>
      </c>
      <c r="B35" s="1" t="s">
        <v>477</v>
      </c>
      <c r="C35">
        <v>160</v>
      </c>
      <c r="D35">
        <v>0.25</v>
      </c>
      <c r="E35">
        <v>0.02</v>
      </c>
      <c r="F35">
        <v>0.62</v>
      </c>
      <c r="G35">
        <v>0</v>
      </c>
      <c r="H35" s="1" t="s">
        <v>13</v>
      </c>
      <c r="I35">
        <v>21</v>
      </c>
      <c r="J35">
        <v>34</v>
      </c>
      <c r="K35">
        <v>0.75780000000000003</v>
      </c>
    </row>
    <row r="36" spans="1:11" x14ac:dyDescent="0.25">
      <c r="A36" s="1" t="s">
        <v>478</v>
      </c>
      <c r="B36" s="1" t="s">
        <v>479</v>
      </c>
      <c r="C36">
        <v>165</v>
      </c>
      <c r="D36">
        <v>1.85</v>
      </c>
      <c r="E36">
        <v>0.65</v>
      </c>
      <c r="F36">
        <v>1.01</v>
      </c>
      <c r="G36">
        <v>0</v>
      </c>
      <c r="H36" s="1" t="s">
        <v>13</v>
      </c>
      <c r="I36">
        <v>4</v>
      </c>
      <c r="J36">
        <v>81</v>
      </c>
      <c r="K36">
        <v>0.92530000000000001</v>
      </c>
    </row>
    <row r="37" spans="1:11" x14ac:dyDescent="0.25">
      <c r="A37" s="1" t="s">
        <v>480</v>
      </c>
      <c r="B37" s="1" t="s">
        <v>222</v>
      </c>
      <c r="C37">
        <v>170</v>
      </c>
      <c r="D37">
        <v>0.1</v>
      </c>
      <c r="E37">
        <v>0.02</v>
      </c>
      <c r="F37">
        <v>0.17</v>
      </c>
      <c r="G37">
        <v>0</v>
      </c>
      <c r="H37" s="1" t="s">
        <v>13</v>
      </c>
      <c r="I37">
        <v>1</v>
      </c>
      <c r="J37">
        <v>13</v>
      </c>
      <c r="K37">
        <v>0.6875</v>
      </c>
    </row>
    <row r="38" spans="1:11" x14ac:dyDescent="0.25">
      <c r="A38" s="1" t="s">
        <v>481</v>
      </c>
      <c r="B38" s="1" t="s">
        <v>482</v>
      </c>
      <c r="C38">
        <v>175</v>
      </c>
      <c r="D38">
        <v>0.26</v>
      </c>
      <c r="E38">
        <v>0.02</v>
      </c>
      <c r="F38">
        <v>0.16</v>
      </c>
      <c r="G38">
        <v>0</v>
      </c>
      <c r="H38" s="1" t="s">
        <v>13</v>
      </c>
      <c r="I38">
        <v>1</v>
      </c>
      <c r="J38">
        <v>19</v>
      </c>
      <c r="K38">
        <v>0.70509999999999995</v>
      </c>
    </row>
    <row r="39" spans="1:11" x14ac:dyDescent="0.25">
      <c r="A39" s="1" t="s">
        <v>483</v>
      </c>
      <c r="B39" s="1" t="s">
        <v>484</v>
      </c>
      <c r="C39">
        <v>180</v>
      </c>
      <c r="D39">
        <v>0.05</v>
      </c>
      <c r="E39">
        <v>0.05</v>
      </c>
      <c r="F39">
        <v>0.15</v>
      </c>
      <c r="G39">
        <v>0</v>
      </c>
      <c r="H39" s="1" t="s">
        <v>13</v>
      </c>
      <c r="I39">
        <v>1</v>
      </c>
      <c r="J39">
        <v>36</v>
      </c>
      <c r="K39">
        <v>0.73540000000000005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AD8B5-5285-4D35-80B2-D5418A43259D}">
  <sheetPr codeName="Sheet7"/>
  <dimension ref="A1:K21"/>
  <sheetViews>
    <sheetView workbookViewId="0">
      <selection activeCell="K12" sqref="K12"/>
    </sheetView>
  </sheetViews>
  <sheetFormatPr defaultRowHeight="15" x14ac:dyDescent="0.25"/>
  <cols>
    <col min="1" max="1" width="20.42578125" bestFit="1" customWidth="1"/>
    <col min="2" max="2" width="22.5703125" bestFit="1" customWidth="1"/>
    <col min="3" max="3" width="8.42578125" bestFit="1" customWidth="1"/>
    <col min="4" max="4" width="11.5703125" bestFit="1" customWidth="1"/>
    <col min="5" max="5" width="6.140625" bestFit="1" customWidth="1"/>
    <col min="6" max="6" width="6.42578125" bestFit="1" customWidth="1"/>
    <col min="7" max="7" width="9.85546875" bestFit="1" customWidth="1"/>
    <col min="8" max="8" width="11.85546875" bestFit="1" customWidth="1"/>
    <col min="9" max="9" width="10.28515625" bestFit="1" customWidth="1"/>
    <col min="10" max="10" width="15.7109375" bestFit="1" customWidth="1"/>
    <col min="11" max="11" width="18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" t="s">
        <v>257</v>
      </c>
      <c r="B2" s="1" t="s">
        <v>258</v>
      </c>
      <c r="C2">
        <v>40</v>
      </c>
      <c r="D2">
        <v>41.35</v>
      </c>
      <c r="E2">
        <v>40.25</v>
      </c>
      <c r="F2">
        <v>41</v>
      </c>
      <c r="G2">
        <v>3.6</v>
      </c>
      <c r="H2" s="1" t="s">
        <v>259</v>
      </c>
      <c r="I2">
        <v>2</v>
      </c>
      <c r="J2">
        <v>2</v>
      </c>
      <c r="K2">
        <v>1.0967</v>
      </c>
    </row>
    <row r="3" spans="1:11" x14ac:dyDescent="0.25">
      <c r="A3" s="1" t="s">
        <v>260</v>
      </c>
      <c r="B3" s="1" t="s">
        <v>261</v>
      </c>
      <c r="C3">
        <v>60</v>
      </c>
      <c r="D3">
        <v>19.12</v>
      </c>
      <c r="E3">
        <v>21</v>
      </c>
      <c r="F3">
        <v>21.35</v>
      </c>
      <c r="G3">
        <v>0</v>
      </c>
      <c r="H3" s="1" t="s">
        <v>13</v>
      </c>
      <c r="I3">
        <v>1</v>
      </c>
      <c r="J3">
        <v>2</v>
      </c>
      <c r="K3">
        <v>0.58109999999999995</v>
      </c>
    </row>
    <row r="4" spans="1:11" x14ac:dyDescent="0.25">
      <c r="A4" s="1" t="s">
        <v>262</v>
      </c>
      <c r="B4" s="1" t="s">
        <v>263</v>
      </c>
      <c r="C4">
        <v>62.5</v>
      </c>
      <c r="D4">
        <v>13.7</v>
      </c>
      <c r="E4">
        <v>18.649999999999999</v>
      </c>
      <c r="F4">
        <v>19.100000000000001</v>
      </c>
      <c r="G4">
        <v>0</v>
      </c>
      <c r="H4" s="1" t="s">
        <v>13</v>
      </c>
      <c r="I4">
        <v>1</v>
      </c>
      <c r="J4">
        <v>5</v>
      </c>
      <c r="K4">
        <v>0.56520000000000004</v>
      </c>
    </row>
    <row r="5" spans="1:11" x14ac:dyDescent="0.25">
      <c r="A5" s="1" t="s">
        <v>264</v>
      </c>
      <c r="B5" s="1" t="s">
        <v>265</v>
      </c>
      <c r="C5">
        <v>65</v>
      </c>
      <c r="D5">
        <v>14</v>
      </c>
      <c r="E5">
        <v>16.5</v>
      </c>
      <c r="F5">
        <v>16.75</v>
      </c>
      <c r="G5">
        <v>0</v>
      </c>
      <c r="H5" s="1" t="s">
        <v>13</v>
      </c>
      <c r="I5">
        <v>1</v>
      </c>
      <c r="J5">
        <v>8</v>
      </c>
      <c r="K5">
        <v>0.54659999999999997</v>
      </c>
    </row>
    <row r="6" spans="1:11" x14ac:dyDescent="0.25">
      <c r="A6" s="1" t="s">
        <v>266</v>
      </c>
      <c r="B6" s="1" t="s">
        <v>135</v>
      </c>
      <c r="C6">
        <v>67.5</v>
      </c>
      <c r="D6">
        <v>15.2</v>
      </c>
      <c r="E6">
        <v>14.35</v>
      </c>
      <c r="F6">
        <v>14.55</v>
      </c>
      <c r="G6">
        <v>0</v>
      </c>
      <c r="H6" s="1" t="s">
        <v>13</v>
      </c>
      <c r="I6">
        <v>1</v>
      </c>
      <c r="J6">
        <v>112</v>
      </c>
      <c r="K6">
        <v>0.52829999999999999</v>
      </c>
    </row>
    <row r="7" spans="1:11" x14ac:dyDescent="0.25">
      <c r="A7" s="1" t="s">
        <v>267</v>
      </c>
      <c r="B7" s="1" t="s">
        <v>20</v>
      </c>
      <c r="C7">
        <v>70</v>
      </c>
      <c r="D7">
        <v>14.15</v>
      </c>
      <c r="E7">
        <v>12.25</v>
      </c>
      <c r="F7">
        <v>12.5</v>
      </c>
      <c r="G7">
        <v>-0.9</v>
      </c>
      <c r="H7" s="1" t="s">
        <v>268</v>
      </c>
      <c r="I7">
        <v>1</v>
      </c>
      <c r="J7">
        <v>327</v>
      </c>
      <c r="K7">
        <v>0.51119999999999999</v>
      </c>
    </row>
    <row r="8" spans="1:11" x14ac:dyDescent="0.25">
      <c r="A8" s="1" t="s">
        <v>269</v>
      </c>
      <c r="B8" s="1" t="s">
        <v>270</v>
      </c>
      <c r="C8">
        <v>72.5</v>
      </c>
      <c r="D8">
        <v>11.4</v>
      </c>
      <c r="E8">
        <v>10.35</v>
      </c>
      <c r="F8">
        <v>10.6</v>
      </c>
      <c r="G8">
        <v>-2.65</v>
      </c>
      <c r="H8" s="1" t="s">
        <v>271</v>
      </c>
      <c r="I8">
        <v>3</v>
      </c>
      <c r="J8">
        <v>251</v>
      </c>
      <c r="K8">
        <v>0.50119999999999998</v>
      </c>
    </row>
    <row r="9" spans="1:11" x14ac:dyDescent="0.25">
      <c r="A9" s="1" t="s">
        <v>272</v>
      </c>
      <c r="B9" s="1" t="s">
        <v>273</v>
      </c>
      <c r="C9">
        <v>75</v>
      </c>
      <c r="D9">
        <v>8.3000000000000007</v>
      </c>
      <c r="E9">
        <v>8.65</v>
      </c>
      <c r="F9">
        <v>8.85</v>
      </c>
      <c r="G9">
        <v>-1.97</v>
      </c>
      <c r="H9" s="1" t="s">
        <v>274</v>
      </c>
      <c r="I9">
        <v>8</v>
      </c>
      <c r="J9">
        <v>3098</v>
      </c>
      <c r="K9">
        <v>0.50390000000000001</v>
      </c>
    </row>
    <row r="10" spans="1:11" x14ac:dyDescent="0.25">
      <c r="A10" s="1" t="s">
        <v>275</v>
      </c>
      <c r="B10" s="1" t="s">
        <v>276</v>
      </c>
      <c r="C10">
        <v>77.5</v>
      </c>
      <c r="D10">
        <v>7.42</v>
      </c>
      <c r="E10">
        <v>7.05</v>
      </c>
      <c r="F10">
        <v>7.3</v>
      </c>
      <c r="G10">
        <v>-2.2000000000000002</v>
      </c>
      <c r="H10" s="1" t="s">
        <v>277</v>
      </c>
      <c r="I10">
        <v>8</v>
      </c>
      <c r="J10">
        <v>79</v>
      </c>
      <c r="K10">
        <v>0.49709999999999999</v>
      </c>
    </row>
    <row r="11" spans="1:11" x14ac:dyDescent="0.25">
      <c r="A11" s="1" t="s">
        <v>278</v>
      </c>
      <c r="B11" s="1" t="s">
        <v>279</v>
      </c>
      <c r="C11">
        <v>80</v>
      </c>
      <c r="D11">
        <v>5.47</v>
      </c>
      <c r="E11">
        <v>5.8</v>
      </c>
      <c r="F11">
        <v>5.95</v>
      </c>
      <c r="G11">
        <v>-2.2999999999999998</v>
      </c>
      <c r="H11" s="1" t="s">
        <v>280</v>
      </c>
      <c r="I11">
        <v>12</v>
      </c>
      <c r="J11">
        <v>660</v>
      </c>
      <c r="K11">
        <v>0.49259999999999998</v>
      </c>
    </row>
    <row r="12" spans="1:11" x14ac:dyDescent="0.25">
      <c r="A12" s="1" t="s">
        <v>281</v>
      </c>
      <c r="B12" s="1" t="s">
        <v>282</v>
      </c>
      <c r="C12">
        <v>82.5</v>
      </c>
      <c r="D12">
        <v>4.6500000000000004</v>
      </c>
      <c r="E12">
        <v>4.5999999999999996</v>
      </c>
      <c r="F12">
        <v>4.75</v>
      </c>
      <c r="G12">
        <v>-1.75</v>
      </c>
      <c r="H12" s="1" t="s">
        <v>283</v>
      </c>
      <c r="I12">
        <v>22</v>
      </c>
      <c r="J12">
        <v>620</v>
      </c>
      <c r="K12">
        <v>0.48580000000000001</v>
      </c>
    </row>
    <row r="13" spans="1:11" x14ac:dyDescent="0.25">
      <c r="A13" s="1" t="s">
        <v>284</v>
      </c>
      <c r="B13" s="1" t="s">
        <v>285</v>
      </c>
      <c r="C13">
        <v>85</v>
      </c>
      <c r="D13">
        <v>3.83</v>
      </c>
      <c r="E13">
        <v>3.65</v>
      </c>
      <c r="F13">
        <v>3.8</v>
      </c>
      <c r="G13">
        <v>-1.3</v>
      </c>
      <c r="H13" s="1" t="s">
        <v>286</v>
      </c>
      <c r="I13">
        <v>72</v>
      </c>
      <c r="J13">
        <v>478</v>
      </c>
      <c r="K13">
        <v>0.48630000000000001</v>
      </c>
    </row>
    <row r="14" spans="1:11" x14ac:dyDescent="0.25">
      <c r="A14" s="1" t="s">
        <v>287</v>
      </c>
      <c r="B14" s="1" t="s">
        <v>288</v>
      </c>
      <c r="C14">
        <v>87.5</v>
      </c>
      <c r="D14">
        <v>2.92</v>
      </c>
      <c r="E14">
        <v>2.87</v>
      </c>
      <c r="F14">
        <v>2.94</v>
      </c>
      <c r="G14">
        <v>-0.78</v>
      </c>
      <c r="H14" s="1" t="s">
        <v>289</v>
      </c>
      <c r="I14">
        <v>15</v>
      </c>
      <c r="J14">
        <v>120</v>
      </c>
      <c r="K14">
        <v>0.48020000000000002</v>
      </c>
    </row>
    <row r="15" spans="1:11" x14ac:dyDescent="0.25">
      <c r="A15" s="1" t="s">
        <v>290</v>
      </c>
      <c r="B15" s="1" t="s">
        <v>291</v>
      </c>
      <c r="C15">
        <v>90</v>
      </c>
      <c r="D15">
        <v>2.23</v>
      </c>
      <c r="E15">
        <v>2.2400000000000002</v>
      </c>
      <c r="F15">
        <v>2.2799999999999998</v>
      </c>
      <c r="G15">
        <v>-0.99</v>
      </c>
      <c r="H15" s="1" t="s">
        <v>292</v>
      </c>
      <c r="I15">
        <v>47</v>
      </c>
      <c r="J15">
        <v>297</v>
      </c>
      <c r="K15">
        <v>0.4793</v>
      </c>
    </row>
    <row r="16" spans="1:11" x14ac:dyDescent="0.25">
      <c r="A16" s="1" t="s">
        <v>293</v>
      </c>
      <c r="B16" s="1" t="s">
        <v>294</v>
      </c>
      <c r="C16">
        <v>95</v>
      </c>
      <c r="D16">
        <v>1.34</v>
      </c>
      <c r="E16">
        <v>1.34</v>
      </c>
      <c r="F16">
        <v>1.38</v>
      </c>
      <c r="G16">
        <v>-0.61</v>
      </c>
      <c r="H16" s="1" t="s">
        <v>295</v>
      </c>
      <c r="I16">
        <v>22</v>
      </c>
      <c r="J16">
        <v>334</v>
      </c>
      <c r="K16">
        <v>0.4849</v>
      </c>
    </row>
    <row r="17" spans="1:11" x14ac:dyDescent="0.25">
      <c r="A17" s="1" t="s">
        <v>296</v>
      </c>
      <c r="B17" s="1" t="s">
        <v>276</v>
      </c>
      <c r="C17">
        <v>100</v>
      </c>
      <c r="D17">
        <v>0.85</v>
      </c>
      <c r="E17">
        <v>0.79</v>
      </c>
      <c r="F17">
        <v>0.85</v>
      </c>
      <c r="G17">
        <v>-0.33</v>
      </c>
      <c r="H17" s="1" t="s">
        <v>297</v>
      </c>
      <c r="I17">
        <v>63</v>
      </c>
      <c r="J17">
        <v>892</v>
      </c>
      <c r="K17">
        <v>0.49559999999999998</v>
      </c>
    </row>
    <row r="18" spans="1:11" x14ac:dyDescent="0.25">
      <c r="A18" s="1" t="s">
        <v>298</v>
      </c>
      <c r="B18" s="1" t="s">
        <v>299</v>
      </c>
      <c r="C18">
        <v>105</v>
      </c>
      <c r="D18">
        <v>0.51</v>
      </c>
      <c r="E18">
        <v>0.48</v>
      </c>
      <c r="F18">
        <v>0.53</v>
      </c>
      <c r="G18">
        <v>-0.16</v>
      </c>
      <c r="H18" s="1" t="s">
        <v>300</v>
      </c>
      <c r="I18">
        <v>8</v>
      </c>
      <c r="J18">
        <v>88</v>
      </c>
      <c r="K18">
        <v>0.502</v>
      </c>
    </row>
    <row r="19" spans="1:11" x14ac:dyDescent="0.25">
      <c r="A19" s="1" t="s">
        <v>301</v>
      </c>
      <c r="B19" s="1" t="s">
        <v>302</v>
      </c>
      <c r="C19">
        <v>110</v>
      </c>
      <c r="D19">
        <v>0.33</v>
      </c>
      <c r="E19">
        <v>0.31</v>
      </c>
      <c r="F19">
        <v>0.34</v>
      </c>
      <c r="G19">
        <v>-0.09</v>
      </c>
      <c r="H19" s="1" t="s">
        <v>303</v>
      </c>
      <c r="I19">
        <v>2</v>
      </c>
      <c r="J19">
        <v>135</v>
      </c>
      <c r="K19">
        <v>0.5171</v>
      </c>
    </row>
    <row r="20" spans="1:11" x14ac:dyDescent="0.25">
      <c r="A20" s="1" t="s">
        <v>304</v>
      </c>
      <c r="B20" s="1" t="s">
        <v>305</v>
      </c>
      <c r="C20">
        <v>115</v>
      </c>
      <c r="D20">
        <v>0.2</v>
      </c>
      <c r="E20">
        <v>0.08</v>
      </c>
      <c r="F20">
        <v>0.32</v>
      </c>
      <c r="G20">
        <v>-0.09</v>
      </c>
      <c r="H20" s="1" t="s">
        <v>306</v>
      </c>
      <c r="I20">
        <v>1</v>
      </c>
      <c r="J20">
        <v>19</v>
      </c>
      <c r="K20">
        <v>0.52639999999999998</v>
      </c>
    </row>
    <row r="21" spans="1:11" x14ac:dyDescent="0.25">
      <c r="A21" s="1" t="s">
        <v>307</v>
      </c>
      <c r="B21" s="1" t="s">
        <v>308</v>
      </c>
      <c r="C21">
        <v>120</v>
      </c>
      <c r="D21">
        <v>0.2</v>
      </c>
      <c r="E21">
        <v>0.1</v>
      </c>
      <c r="F21">
        <v>0.24</v>
      </c>
      <c r="G21">
        <v>0</v>
      </c>
      <c r="H21" s="1" t="s">
        <v>13</v>
      </c>
      <c r="I21">
        <v>5</v>
      </c>
      <c r="J21">
        <v>12</v>
      </c>
      <c r="K21">
        <v>0.5615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8FCE7-5CD5-46B1-A452-2718E529AE17}">
  <sheetPr codeName="Sheet8"/>
  <dimension ref="A1:K34"/>
  <sheetViews>
    <sheetView topLeftCell="A4" workbookViewId="0">
      <selection activeCell="K23" sqref="K23"/>
    </sheetView>
  </sheetViews>
  <sheetFormatPr defaultRowHeight="15" x14ac:dyDescent="0.25"/>
  <cols>
    <col min="1" max="1" width="20.42578125" bestFit="1" customWidth="1"/>
    <col min="2" max="2" width="22.5703125" bestFit="1" customWidth="1"/>
    <col min="3" max="3" width="8.42578125" bestFit="1" customWidth="1"/>
    <col min="4" max="4" width="11.5703125" bestFit="1" customWidth="1"/>
    <col min="5" max="5" width="6.140625" bestFit="1" customWidth="1"/>
    <col min="6" max="6" width="6.42578125" bestFit="1" customWidth="1"/>
    <col min="7" max="7" width="9.85546875" bestFit="1" customWidth="1"/>
    <col min="8" max="8" width="11.85546875" bestFit="1" customWidth="1"/>
    <col min="9" max="9" width="10.28515625" bestFit="1" customWidth="1"/>
    <col min="10" max="10" width="15.7109375" bestFit="1" customWidth="1"/>
    <col min="11" max="11" width="18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" t="s">
        <v>106</v>
      </c>
      <c r="B2" s="1" t="s">
        <v>107</v>
      </c>
      <c r="C2">
        <v>45</v>
      </c>
      <c r="D2">
        <v>39.35</v>
      </c>
      <c r="E2">
        <v>35.25</v>
      </c>
      <c r="F2">
        <v>35.950000000000003</v>
      </c>
      <c r="G2">
        <v>0</v>
      </c>
      <c r="H2" s="1" t="s">
        <v>13</v>
      </c>
      <c r="I2" s="1" t="s">
        <v>13</v>
      </c>
      <c r="J2">
        <v>46</v>
      </c>
      <c r="K2">
        <v>1.9375</v>
      </c>
    </row>
    <row r="3" spans="1:11" x14ac:dyDescent="0.25">
      <c r="A3" s="1" t="s">
        <v>108</v>
      </c>
      <c r="B3" s="1" t="s">
        <v>109</v>
      </c>
      <c r="C3">
        <v>55</v>
      </c>
      <c r="D3">
        <v>28.75</v>
      </c>
      <c r="E3">
        <v>25.2</v>
      </c>
      <c r="F3">
        <v>26</v>
      </c>
      <c r="G3">
        <v>0</v>
      </c>
      <c r="H3" s="1" t="s">
        <v>13</v>
      </c>
      <c r="I3" s="1" t="s">
        <v>14</v>
      </c>
      <c r="J3">
        <v>3</v>
      </c>
      <c r="K3">
        <v>1.3965000000000001</v>
      </c>
    </row>
    <row r="4" spans="1:11" x14ac:dyDescent="0.25">
      <c r="A4" s="1" t="s">
        <v>110</v>
      </c>
      <c r="B4" s="1" t="s">
        <v>111</v>
      </c>
      <c r="C4">
        <v>60</v>
      </c>
      <c r="D4">
        <v>19</v>
      </c>
      <c r="E4">
        <v>20.5</v>
      </c>
      <c r="F4">
        <v>20.8</v>
      </c>
      <c r="G4">
        <v>0</v>
      </c>
      <c r="H4" s="1" t="s">
        <v>13</v>
      </c>
      <c r="I4" s="1" t="s">
        <v>14</v>
      </c>
      <c r="J4">
        <v>24</v>
      </c>
      <c r="K4">
        <v>0.92969999999999997</v>
      </c>
    </row>
    <row r="5" spans="1:11" x14ac:dyDescent="0.25">
      <c r="A5" s="1" t="s">
        <v>112</v>
      </c>
      <c r="B5" s="1" t="s">
        <v>113</v>
      </c>
      <c r="C5">
        <v>62.5</v>
      </c>
      <c r="D5">
        <v>21.1</v>
      </c>
      <c r="E5">
        <v>17.850000000000001</v>
      </c>
      <c r="F5">
        <v>18.3</v>
      </c>
      <c r="G5">
        <v>0</v>
      </c>
      <c r="H5" s="1" t="s">
        <v>13</v>
      </c>
      <c r="I5" s="1" t="s">
        <v>14</v>
      </c>
      <c r="J5">
        <v>19</v>
      </c>
      <c r="K5">
        <v>0.81840000000000002</v>
      </c>
    </row>
    <row r="6" spans="1:11" x14ac:dyDescent="0.25">
      <c r="A6" s="1" t="s">
        <v>114</v>
      </c>
      <c r="B6" s="1" t="s">
        <v>115</v>
      </c>
      <c r="C6">
        <v>65</v>
      </c>
      <c r="D6">
        <v>16.760000000000002</v>
      </c>
      <c r="E6">
        <v>15.5</v>
      </c>
      <c r="F6">
        <v>15.85</v>
      </c>
      <c r="G6">
        <v>-2.64</v>
      </c>
      <c r="H6" s="1" t="s">
        <v>116</v>
      </c>
      <c r="I6" s="1" t="s">
        <v>42</v>
      </c>
      <c r="J6">
        <v>157</v>
      </c>
      <c r="K6">
        <v>0.76170000000000004</v>
      </c>
    </row>
    <row r="7" spans="1:11" x14ac:dyDescent="0.25">
      <c r="A7" s="1" t="s">
        <v>117</v>
      </c>
      <c r="B7" s="1" t="s">
        <v>118</v>
      </c>
      <c r="C7">
        <v>67.5</v>
      </c>
      <c r="D7">
        <v>11.9</v>
      </c>
      <c r="E7">
        <v>13.05</v>
      </c>
      <c r="F7">
        <v>13.35</v>
      </c>
      <c r="G7">
        <v>0</v>
      </c>
      <c r="H7" s="1" t="s">
        <v>13</v>
      </c>
      <c r="I7" s="1" t="s">
        <v>14</v>
      </c>
      <c r="J7">
        <v>63</v>
      </c>
      <c r="K7">
        <v>0.65039999999999998</v>
      </c>
    </row>
    <row r="8" spans="1:11" x14ac:dyDescent="0.25">
      <c r="A8" s="1" t="s">
        <v>119</v>
      </c>
      <c r="B8" s="1" t="s">
        <v>120</v>
      </c>
      <c r="C8">
        <v>70</v>
      </c>
      <c r="D8">
        <v>10.5</v>
      </c>
      <c r="E8">
        <v>10.45</v>
      </c>
      <c r="F8">
        <v>10.85</v>
      </c>
      <c r="G8">
        <v>-2.82</v>
      </c>
      <c r="H8" s="1" t="s">
        <v>121</v>
      </c>
      <c r="I8" s="1" t="s">
        <v>122</v>
      </c>
      <c r="J8">
        <v>546</v>
      </c>
      <c r="K8">
        <v>0.54</v>
      </c>
    </row>
    <row r="9" spans="1:11" x14ac:dyDescent="0.25">
      <c r="A9" s="1" t="s">
        <v>123</v>
      </c>
      <c r="B9" s="1" t="s">
        <v>124</v>
      </c>
      <c r="C9">
        <v>72.5</v>
      </c>
      <c r="D9">
        <v>7.9</v>
      </c>
      <c r="E9">
        <v>8.15</v>
      </c>
      <c r="F9">
        <v>8.5</v>
      </c>
      <c r="G9">
        <v>-4.6500000000000004</v>
      </c>
      <c r="H9" s="1" t="s">
        <v>125</v>
      </c>
      <c r="I9" s="1" t="s">
        <v>126</v>
      </c>
      <c r="J9">
        <v>201</v>
      </c>
      <c r="K9">
        <v>0.50780000000000003</v>
      </c>
    </row>
    <row r="10" spans="1:11" x14ac:dyDescent="0.25">
      <c r="A10" s="1" t="s">
        <v>127</v>
      </c>
      <c r="B10" s="1" t="s">
        <v>33</v>
      </c>
      <c r="C10">
        <v>73</v>
      </c>
      <c r="D10">
        <v>7.38</v>
      </c>
      <c r="E10">
        <v>7.65</v>
      </c>
      <c r="F10">
        <v>8</v>
      </c>
      <c r="G10">
        <v>-2.42</v>
      </c>
      <c r="H10" s="1" t="s">
        <v>128</v>
      </c>
      <c r="I10" s="1" t="s">
        <v>35</v>
      </c>
      <c r="J10">
        <v>6</v>
      </c>
      <c r="K10">
        <v>0.4834</v>
      </c>
    </row>
    <row r="11" spans="1:11" x14ac:dyDescent="0.25">
      <c r="A11" s="1" t="s">
        <v>129</v>
      </c>
      <c r="B11" s="1" t="s">
        <v>37</v>
      </c>
      <c r="C11">
        <v>74</v>
      </c>
      <c r="D11">
        <v>7.26</v>
      </c>
      <c r="E11">
        <v>6.75</v>
      </c>
      <c r="F11">
        <v>7.15</v>
      </c>
      <c r="G11">
        <v>-4.8600000000000003</v>
      </c>
      <c r="H11" s="1" t="s">
        <v>130</v>
      </c>
      <c r="I11" s="1" t="s">
        <v>39</v>
      </c>
      <c r="J11">
        <v>7</v>
      </c>
      <c r="K11">
        <v>0.49020000000000002</v>
      </c>
    </row>
    <row r="12" spans="1:11" x14ac:dyDescent="0.25">
      <c r="A12" s="1" t="s">
        <v>131</v>
      </c>
      <c r="B12" s="1" t="s">
        <v>132</v>
      </c>
      <c r="C12">
        <v>75</v>
      </c>
      <c r="D12">
        <v>5.7</v>
      </c>
      <c r="E12">
        <v>6</v>
      </c>
      <c r="F12">
        <v>6.2</v>
      </c>
      <c r="G12">
        <v>-3.5</v>
      </c>
      <c r="H12" s="1" t="s">
        <v>133</v>
      </c>
      <c r="I12" s="1" t="s">
        <v>29</v>
      </c>
      <c r="J12">
        <v>487</v>
      </c>
      <c r="K12">
        <v>0.4531</v>
      </c>
    </row>
    <row r="13" spans="1:11" x14ac:dyDescent="0.25">
      <c r="A13" s="1" t="s">
        <v>134</v>
      </c>
      <c r="B13" s="1" t="s">
        <v>135</v>
      </c>
      <c r="C13">
        <v>76</v>
      </c>
      <c r="D13">
        <v>6.4</v>
      </c>
      <c r="E13">
        <v>5.15</v>
      </c>
      <c r="F13">
        <v>5.3</v>
      </c>
      <c r="G13">
        <v>0</v>
      </c>
      <c r="H13" s="1" t="s">
        <v>13</v>
      </c>
      <c r="I13" s="1" t="s">
        <v>14</v>
      </c>
      <c r="J13">
        <v>4</v>
      </c>
      <c r="K13">
        <v>0.42680000000000001</v>
      </c>
    </row>
    <row r="14" spans="1:11" x14ac:dyDescent="0.25">
      <c r="A14" s="1" t="s">
        <v>136</v>
      </c>
      <c r="B14" s="1" t="s">
        <v>137</v>
      </c>
      <c r="C14">
        <v>77</v>
      </c>
      <c r="D14">
        <v>7.17</v>
      </c>
      <c r="E14">
        <v>4.3499999999999996</v>
      </c>
      <c r="F14">
        <v>4.55</v>
      </c>
      <c r="G14">
        <v>0</v>
      </c>
      <c r="H14" s="1" t="s">
        <v>13</v>
      </c>
      <c r="I14" s="1" t="s">
        <v>138</v>
      </c>
      <c r="J14">
        <v>16</v>
      </c>
      <c r="K14">
        <v>0.42970000000000003</v>
      </c>
    </row>
    <row r="15" spans="1:11" x14ac:dyDescent="0.25">
      <c r="A15" s="1" t="s">
        <v>139</v>
      </c>
      <c r="B15" s="1" t="s">
        <v>140</v>
      </c>
      <c r="C15">
        <v>77.5</v>
      </c>
      <c r="D15">
        <v>4.79</v>
      </c>
      <c r="E15">
        <v>4.05</v>
      </c>
      <c r="F15">
        <v>4.1500000000000004</v>
      </c>
      <c r="G15">
        <v>-1.62</v>
      </c>
      <c r="H15" s="1" t="s">
        <v>141</v>
      </c>
      <c r="I15" s="1" t="s">
        <v>14</v>
      </c>
      <c r="J15">
        <v>349</v>
      </c>
      <c r="K15">
        <v>0.4204</v>
      </c>
    </row>
    <row r="16" spans="1:11" x14ac:dyDescent="0.25">
      <c r="A16" s="1" t="s">
        <v>142</v>
      </c>
      <c r="B16" s="1" t="s">
        <v>143</v>
      </c>
      <c r="C16">
        <v>78</v>
      </c>
      <c r="D16">
        <v>4.05</v>
      </c>
      <c r="E16">
        <v>3.65</v>
      </c>
      <c r="F16">
        <v>3.8</v>
      </c>
      <c r="G16">
        <v>-4.2699999999999996</v>
      </c>
      <c r="H16" s="1" t="s">
        <v>144</v>
      </c>
      <c r="I16" s="1" t="s">
        <v>14</v>
      </c>
      <c r="J16">
        <v>49</v>
      </c>
      <c r="K16">
        <v>0.4194</v>
      </c>
    </row>
    <row r="17" spans="1:11" x14ac:dyDescent="0.25">
      <c r="A17" s="1" t="s">
        <v>145</v>
      </c>
      <c r="B17" s="1" t="s">
        <v>146</v>
      </c>
      <c r="C17">
        <v>79</v>
      </c>
      <c r="D17">
        <v>3.55</v>
      </c>
      <c r="E17">
        <v>3.05</v>
      </c>
      <c r="F17">
        <v>3.2</v>
      </c>
      <c r="G17">
        <v>-2.38</v>
      </c>
      <c r="H17" s="1" t="s">
        <v>147</v>
      </c>
      <c r="I17" s="1" t="s">
        <v>14</v>
      </c>
      <c r="J17">
        <v>12</v>
      </c>
      <c r="K17">
        <v>0.42770000000000002</v>
      </c>
    </row>
    <row r="18" spans="1:11" x14ac:dyDescent="0.25">
      <c r="A18" s="1" t="s">
        <v>148</v>
      </c>
      <c r="B18" s="1" t="s">
        <v>149</v>
      </c>
      <c r="C18">
        <v>80</v>
      </c>
      <c r="D18">
        <v>2.2599999999999998</v>
      </c>
      <c r="E18">
        <v>2.39</v>
      </c>
      <c r="F18">
        <v>2.5499999999999998</v>
      </c>
      <c r="G18">
        <v>-2.59</v>
      </c>
      <c r="H18" s="1" t="s">
        <v>150</v>
      </c>
      <c r="I18" s="1" t="s">
        <v>73</v>
      </c>
      <c r="J18">
        <v>915</v>
      </c>
      <c r="K18">
        <v>0.41239999999999999</v>
      </c>
    </row>
    <row r="19" spans="1:11" x14ac:dyDescent="0.25">
      <c r="A19" s="1" t="s">
        <v>151</v>
      </c>
      <c r="B19" s="1" t="s">
        <v>152</v>
      </c>
      <c r="C19">
        <v>81</v>
      </c>
      <c r="D19">
        <v>1.96</v>
      </c>
      <c r="E19">
        <v>1.95</v>
      </c>
      <c r="F19">
        <v>2.02</v>
      </c>
      <c r="G19">
        <v>-1.96</v>
      </c>
      <c r="H19" s="1" t="s">
        <v>153</v>
      </c>
      <c r="I19" s="1" t="s">
        <v>154</v>
      </c>
      <c r="J19">
        <v>169</v>
      </c>
      <c r="K19">
        <v>0.40670000000000001</v>
      </c>
    </row>
    <row r="20" spans="1:11" x14ac:dyDescent="0.25">
      <c r="A20" s="1" t="s">
        <v>155</v>
      </c>
      <c r="B20" s="1" t="s">
        <v>156</v>
      </c>
      <c r="C20">
        <v>82</v>
      </c>
      <c r="D20">
        <v>1.7</v>
      </c>
      <c r="E20">
        <v>1.5</v>
      </c>
      <c r="F20">
        <v>1.6</v>
      </c>
      <c r="G20">
        <v>-1.75</v>
      </c>
      <c r="H20" s="1" t="s">
        <v>157</v>
      </c>
      <c r="I20" s="1" t="s">
        <v>158</v>
      </c>
      <c r="J20">
        <v>313</v>
      </c>
      <c r="K20">
        <v>0.40820000000000001</v>
      </c>
    </row>
    <row r="21" spans="1:11" x14ac:dyDescent="0.25">
      <c r="A21" s="1" t="s">
        <v>159</v>
      </c>
      <c r="B21" s="1" t="s">
        <v>160</v>
      </c>
      <c r="C21">
        <v>82.5</v>
      </c>
      <c r="D21">
        <v>1.54</v>
      </c>
      <c r="E21">
        <v>1.34</v>
      </c>
      <c r="F21">
        <v>1.41</v>
      </c>
      <c r="G21">
        <v>-1.61</v>
      </c>
      <c r="H21" s="1" t="s">
        <v>161</v>
      </c>
      <c r="I21" s="1" t="s">
        <v>162</v>
      </c>
      <c r="J21">
        <v>284</v>
      </c>
      <c r="K21">
        <v>0.40770000000000001</v>
      </c>
    </row>
    <row r="22" spans="1:11" x14ac:dyDescent="0.25">
      <c r="A22" s="1" t="s">
        <v>163</v>
      </c>
      <c r="B22" s="1" t="s">
        <v>164</v>
      </c>
      <c r="C22">
        <v>83</v>
      </c>
      <c r="D22">
        <v>1.33</v>
      </c>
      <c r="E22">
        <v>1.18</v>
      </c>
      <c r="F22">
        <v>1.24</v>
      </c>
      <c r="G22">
        <v>-1.27</v>
      </c>
      <c r="H22" s="1" t="s">
        <v>165</v>
      </c>
      <c r="I22" s="1" t="s">
        <v>166</v>
      </c>
      <c r="J22">
        <v>146</v>
      </c>
      <c r="K22">
        <v>0.40820000000000001</v>
      </c>
    </row>
    <row r="23" spans="1:11" x14ac:dyDescent="0.25">
      <c r="A23" s="1" t="s">
        <v>167</v>
      </c>
      <c r="B23" s="1" t="s">
        <v>168</v>
      </c>
      <c r="C23">
        <v>84</v>
      </c>
      <c r="D23">
        <v>0.83</v>
      </c>
      <c r="E23">
        <v>0.9</v>
      </c>
      <c r="F23">
        <v>0.97</v>
      </c>
      <c r="G23">
        <v>-1.23</v>
      </c>
      <c r="H23" s="1" t="s">
        <v>169</v>
      </c>
      <c r="I23" s="1" t="s">
        <v>170</v>
      </c>
      <c r="J23">
        <v>166</v>
      </c>
      <c r="K23">
        <v>0.41360000000000002</v>
      </c>
    </row>
    <row r="24" spans="1:11" x14ac:dyDescent="0.25">
      <c r="A24" s="1" t="s">
        <v>171</v>
      </c>
      <c r="B24" s="1" t="s">
        <v>152</v>
      </c>
      <c r="C24">
        <v>85</v>
      </c>
      <c r="D24">
        <v>0.7</v>
      </c>
      <c r="E24">
        <v>0.69</v>
      </c>
      <c r="F24">
        <v>0.74</v>
      </c>
      <c r="G24">
        <v>-1.1599999999999999</v>
      </c>
      <c r="H24" s="1" t="s">
        <v>172</v>
      </c>
      <c r="I24" s="1" t="s">
        <v>173</v>
      </c>
      <c r="J24">
        <v>814</v>
      </c>
      <c r="K24">
        <v>0.41599999999999998</v>
      </c>
    </row>
    <row r="25" spans="1:11" x14ac:dyDescent="0.25">
      <c r="A25" s="1" t="s">
        <v>174</v>
      </c>
      <c r="B25" s="1" t="s">
        <v>175</v>
      </c>
      <c r="C25">
        <v>86</v>
      </c>
      <c r="D25">
        <v>0.74</v>
      </c>
      <c r="E25">
        <v>0.51</v>
      </c>
      <c r="F25">
        <v>0.56000000000000005</v>
      </c>
      <c r="G25">
        <v>-0.48</v>
      </c>
      <c r="H25" s="1" t="s">
        <v>176</v>
      </c>
      <c r="I25" s="1" t="s">
        <v>29</v>
      </c>
      <c r="J25">
        <v>560</v>
      </c>
      <c r="K25">
        <v>0.41899999999999998</v>
      </c>
    </row>
    <row r="26" spans="1:11" x14ac:dyDescent="0.25">
      <c r="A26" s="1" t="s">
        <v>177</v>
      </c>
      <c r="B26" s="1" t="s">
        <v>178</v>
      </c>
      <c r="C26">
        <v>87</v>
      </c>
      <c r="D26">
        <v>0.41</v>
      </c>
      <c r="E26">
        <v>0.39</v>
      </c>
      <c r="F26">
        <v>0.44</v>
      </c>
      <c r="G26">
        <v>-0.59</v>
      </c>
      <c r="H26" s="1" t="s">
        <v>179</v>
      </c>
      <c r="I26" s="1" t="s">
        <v>29</v>
      </c>
      <c r="J26">
        <v>99</v>
      </c>
      <c r="K26">
        <v>0.42870000000000003</v>
      </c>
    </row>
    <row r="27" spans="1:11" x14ac:dyDescent="0.25">
      <c r="A27" s="1" t="s">
        <v>180</v>
      </c>
      <c r="B27" s="1" t="s">
        <v>146</v>
      </c>
      <c r="C27">
        <v>87.5</v>
      </c>
      <c r="D27">
        <v>0.5</v>
      </c>
      <c r="E27">
        <v>0.34</v>
      </c>
      <c r="F27">
        <v>0.39</v>
      </c>
      <c r="G27">
        <v>-0.47</v>
      </c>
      <c r="H27" s="1" t="s">
        <v>181</v>
      </c>
      <c r="I27" s="1" t="s">
        <v>138</v>
      </c>
      <c r="J27">
        <v>277</v>
      </c>
      <c r="K27">
        <v>0.43359999999999999</v>
      </c>
    </row>
    <row r="28" spans="1:11" x14ac:dyDescent="0.25">
      <c r="A28" s="1" t="s">
        <v>182</v>
      </c>
      <c r="B28" s="1" t="s">
        <v>183</v>
      </c>
      <c r="C28">
        <v>88</v>
      </c>
      <c r="D28">
        <v>0.46</v>
      </c>
      <c r="E28">
        <v>0.3</v>
      </c>
      <c r="F28">
        <v>0.34</v>
      </c>
      <c r="G28">
        <v>-0.36</v>
      </c>
      <c r="H28" s="1" t="s">
        <v>184</v>
      </c>
      <c r="I28" s="1" t="s">
        <v>58</v>
      </c>
      <c r="J28">
        <v>1476</v>
      </c>
      <c r="K28">
        <v>0.436</v>
      </c>
    </row>
    <row r="29" spans="1:11" x14ac:dyDescent="0.25">
      <c r="A29" s="1" t="s">
        <v>185</v>
      </c>
      <c r="B29" s="1" t="s">
        <v>186</v>
      </c>
      <c r="C29">
        <v>90</v>
      </c>
      <c r="D29">
        <v>0.18</v>
      </c>
      <c r="E29">
        <v>0.18</v>
      </c>
      <c r="F29">
        <v>0.21</v>
      </c>
      <c r="G29">
        <v>-0.38</v>
      </c>
      <c r="H29" s="1" t="s">
        <v>187</v>
      </c>
      <c r="I29" s="1" t="s">
        <v>188</v>
      </c>
      <c r="J29">
        <v>590</v>
      </c>
      <c r="K29">
        <v>0.4551</v>
      </c>
    </row>
    <row r="30" spans="1:11" x14ac:dyDescent="0.25">
      <c r="A30" s="1" t="s">
        <v>189</v>
      </c>
      <c r="B30" s="1" t="s">
        <v>190</v>
      </c>
      <c r="C30">
        <v>95</v>
      </c>
      <c r="D30">
        <v>0.11</v>
      </c>
      <c r="E30">
        <v>0.03</v>
      </c>
      <c r="F30">
        <v>0.18</v>
      </c>
      <c r="G30">
        <v>-0.12</v>
      </c>
      <c r="H30" s="1" t="s">
        <v>191</v>
      </c>
      <c r="I30" s="1" t="s">
        <v>14</v>
      </c>
      <c r="J30">
        <v>557</v>
      </c>
      <c r="K30">
        <v>0.54100000000000004</v>
      </c>
    </row>
    <row r="31" spans="1:11" x14ac:dyDescent="0.25">
      <c r="A31" s="1" t="s">
        <v>192</v>
      </c>
      <c r="B31" s="1" t="s">
        <v>193</v>
      </c>
      <c r="C31">
        <v>100</v>
      </c>
      <c r="D31">
        <v>0.06</v>
      </c>
      <c r="E31">
        <v>0.01</v>
      </c>
      <c r="F31">
        <v>0.12</v>
      </c>
      <c r="G31">
        <v>-0.03</v>
      </c>
      <c r="H31" s="1" t="s">
        <v>194</v>
      </c>
      <c r="I31" s="1" t="s">
        <v>14</v>
      </c>
      <c r="J31">
        <v>492</v>
      </c>
      <c r="K31">
        <v>0.625</v>
      </c>
    </row>
    <row r="32" spans="1:11" x14ac:dyDescent="0.25">
      <c r="A32" s="1" t="s">
        <v>195</v>
      </c>
      <c r="B32" s="1" t="s">
        <v>196</v>
      </c>
      <c r="C32">
        <v>105</v>
      </c>
      <c r="D32">
        <v>0.4</v>
      </c>
      <c r="E32">
        <v>0</v>
      </c>
      <c r="F32">
        <v>0.14000000000000001</v>
      </c>
      <c r="G32">
        <v>0</v>
      </c>
      <c r="H32" s="1" t="s">
        <v>13</v>
      </c>
      <c r="I32" s="1" t="s">
        <v>39</v>
      </c>
      <c r="J32">
        <v>12</v>
      </c>
      <c r="K32">
        <v>0.75</v>
      </c>
    </row>
    <row r="33" spans="1:11" x14ac:dyDescent="0.25">
      <c r="A33" s="1" t="s">
        <v>197</v>
      </c>
      <c r="B33" s="1" t="s">
        <v>113</v>
      </c>
      <c r="C33">
        <v>110</v>
      </c>
      <c r="D33">
        <v>0.2</v>
      </c>
      <c r="E33">
        <v>0</v>
      </c>
      <c r="F33">
        <v>0.05</v>
      </c>
      <c r="G33">
        <v>0</v>
      </c>
      <c r="H33" s="1" t="s">
        <v>13</v>
      </c>
      <c r="I33" s="1" t="s">
        <v>198</v>
      </c>
      <c r="J33">
        <v>94</v>
      </c>
      <c r="K33">
        <v>0.75780000000000003</v>
      </c>
    </row>
    <row r="34" spans="1:11" x14ac:dyDescent="0.25">
      <c r="A34" s="1" t="s">
        <v>199</v>
      </c>
      <c r="B34" s="1" t="s">
        <v>200</v>
      </c>
      <c r="C34">
        <v>115</v>
      </c>
      <c r="D34">
        <v>0.02</v>
      </c>
      <c r="E34">
        <v>0</v>
      </c>
      <c r="F34">
        <v>0.06</v>
      </c>
      <c r="G34">
        <v>-0.03</v>
      </c>
      <c r="H34" s="1" t="s">
        <v>201</v>
      </c>
      <c r="I34" s="1" t="s">
        <v>202</v>
      </c>
      <c r="J34">
        <v>17</v>
      </c>
      <c r="K34">
        <v>0.86719999999999997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576E3-47A7-4150-AB4A-DFC4A89E1B86}">
  <sheetPr codeName="Sheet9"/>
  <dimension ref="A1:K31"/>
  <sheetViews>
    <sheetView workbookViewId="0">
      <selection activeCell="K2" sqref="K2"/>
    </sheetView>
  </sheetViews>
  <sheetFormatPr defaultRowHeight="15" x14ac:dyDescent="0.25"/>
  <cols>
    <col min="1" max="1" width="20.42578125" bestFit="1" customWidth="1"/>
    <col min="2" max="2" width="22.5703125" bestFit="1" customWidth="1"/>
    <col min="3" max="3" width="8.42578125" bestFit="1" customWidth="1"/>
    <col min="4" max="4" width="11.5703125" bestFit="1" customWidth="1"/>
    <col min="5" max="5" width="6.140625" bestFit="1" customWidth="1"/>
    <col min="6" max="6" width="6.42578125" bestFit="1" customWidth="1"/>
    <col min="7" max="7" width="9.85546875" bestFit="1" customWidth="1"/>
    <col min="8" max="8" width="11.85546875" bestFit="1" customWidth="1"/>
    <col min="9" max="9" width="10.28515625" bestFit="1" customWidth="1"/>
    <col min="10" max="10" width="15.7109375" bestFit="1" customWidth="1"/>
    <col min="11" max="11" width="18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" t="s">
        <v>11</v>
      </c>
      <c r="B2" s="1" t="s">
        <v>12</v>
      </c>
      <c r="C2">
        <v>55</v>
      </c>
      <c r="D2">
        <v>20.25</v>
      </c>
      <c r="E2">
        <v>25.3</v>
      </c>
      <c r="F2">
        <v>26.25</v>
      </c>
      <c r="G2">
        <v>0</v>
      </c>
      <c r="H2" s="1" t="s">
        <v>13</v>
      </c>
      <c r="I2" s="1" t="s">
        <v>14</v>
      </c>
      <c r="J2">
        <v>0</v>
      </c>
      <c r="K2">
        <v>1.7656000000000001</v>
      </c>
    </row>
    <row r="3" spans="1:11" x14ac:dyDescent="0.25">
      <c r="A3" s="1" t="s">
        <v>15</v>
      </c>
      <c r="B3" s="1" t="s">
        <v>16</v>
      </c>
      <c r="C3">
        <v>60</v>
      </c>
      <c r="D3">
        <v>10.55</v>
      </c>
      <c r="E3">
        <v>22.1</v>
      </c>
      <c r="F3">
        <v>25.8</v>
      </c>
      <c r="G3">
        <v>0</v>
      </c>
      <c r="H3" s="1" t="s">
        <v>13</v>
      </c>
      <c r="I3" s="1" t="s">
        <v>13</v>
      </c>
      <c r="J3">
        <v>1</v>
      </c>
      <c r="K3">
        <v>3.6299000000000001</v>
      </c>
    </row>
    <row r="4" spans="1:11" x14ac:dyDescent="0.25">
      <c r="A4" s="1" t="s">
        <v>17</v>
      </c>
      <c r="B4" s="1" t="s">
        <v>18</v>
      </c>
      <c r="C4">
        <v>64</v>
      </c>
      <c r="D4">
        <v>7.75</v>
      </c>
      <c r="E4">
        <v>18.399999999999999</v>
      </c>
      <c r="F4">
        <v>20.9</v>
      </c>
      <c r="G4">
        <v>0</v>
      </c>
      <c r="H4" s="1" t="s">
        <v>13</v>
      </c>
      <c r="I4" s="1" t="s">
        <v>13</v>
      </c>
      <c r="J4">
        <v>1</v>
      </c>
      <c r="K4">
        <v>2.9813999999999998</v>
      </c>
    </row>
    <row r="5" spans="1:11" x14ac:dyDescent="0.25">
      <c r="A5" s="1" t="s">
        <v>19</v>
      </c>
      <c r="B5" s="1" t="s">
        <v>20</v>
      </c>
      <c r="C5">
        <v>68</v>
      </c>
      <c r="D5">
        <v>14.75</v>
      </c>
      <c r="E5">
        <v>12.35</v>
      </c>
      <c r="F5">
        <v>12.85</v>
      </c>
      <c r="G5">
        <v>10.15</v>
      </c>
      <c r="H5" s="1" t="s">
        <v>21</v>
      </c>
      <c r="I5" s="1" t="s">
        <v>14</v>
      </c>
      <c r="J5">
        <v>12</v>
      </c>
      <c r="K5">
        <v>0.99219999999999997</v>
      </c>
    </row>
    <row r="6" spans="1:11" x14ac:dyDescent="0.25">
      <c r="A6" s="1" t="s">
        <v>22</v>
      </c>
      <c r="B6" s="1" t="s">
        <v>23</v>
      </c>
      <c r="C6">
        <v>69</v>
      </c>
      <c r="D6">
        <v>4.5199999999999996</v>
      </c>
      <c r="E6">
        <v>14.4</v>
      </c>
      <c r="F6">
        <v>15.5</v>
      </c>
      <c r="G6">
        <v>0</v>
      </c>
      <c r="H6" s="1" t="s">
        <v>13</v>
      </c>
      <c r="I6" s="1" t="s">
        <v>24</v>
      </c>
      <c r="J6">
        <v>6</v>
      </c>
      <c r="K6">
        <v>2.4883000000000002</v>
      </c>
    </row>
    <row r="7" spans="1:11" x14ac:dyDescent="0.25">
      <c r="A7" s="1" t="s">
        <v>25</v>
      </c>
      <c r="B7" s="1" t="s">
        <v>26</v>
      </c>
      <c r="C7">
        <v>70</v>
      </c>
      <c r="D7">
        <v>8.25</v>
      </c>
      <c r="E7">
        <v>10.5</v>
      </c>
      <c r="F7">
        <v>10.85</v>
      </c>
      <c r="G7">
        <v>0</v>
      </c>
      <c r="H7" s="1" t="s">
        <v>13</v>
      </c>
      <c r="I7" s="1" t="s">
        <v>14</v>
      </c>
      <c r="J7">
        <v>7</v>
      </c>
      <c r="K7">
        <v>0.85350000000000004</v>
      </c>
    </row>
    <row r="8" spans="1:11" x14ac:dyDescent="0.25">
      <c r="A8" s="1" t="s">
        <v>27</v>
      </c>
      <c r="B8" s="1" t="s">
        <v>28</v>
      </c>
      <c r="C8">
        <v>71</v>
      </c>
      <c r="D8">
        <v>9.9</v>
      </c>
      <c r="E8">
        <v>9.4</v>
      </c>
      <c r="F8">
        <v>9.85</v>
      </c>
      <c r="G8">
        <v>0</v>
      </c>
      <c r="H8" s="1" t="s">
        <v>13</v>
      </c>
      <c r="I8" s="1" t="s">
        <v>29</v>
      </c>
      <c r="J8">
        <v>7</v>
      </c>
      <c r="K8">
        <v>0.78520000000000001</v>
      </c>
    </row>
    <row r="9" spans="1:11" x14ac:dyDescent="0.25">
      <c r="A9" s="1" t="s">
        <v>30</v>
      </c>
      <c r="B9" s="1" t="s">
        <v>31</v>
      </c>
      <c r="C9">
        <v>72</v>
      </c>
      <c r="D9">
        <v>5.7</v>
      </c>
      <c r="E9">
        <v>8.5</v>
      </c>
      <c r="F9">
        <v>8.85</v>
      </c>
      <c r="G9">
        <v>0</v>
      </c>
      <c r="H9" s="1" t="s">
        <v>13</v>
      </c>
      <c r="I9" s="1" t="s">
        <v>14</v>
      </c>
      <c r="J9">
        <v>11</v>
      </c>
      <c r="K9">
        <v>0.71679999999999999</v>
      </c>
    </row>
    <row r="10" spans="1:11" x14ac:dyDescent="0.25">
      <c r="A10" s="1" t="s">
        <v>32</v>
      </c>
      <c r="B10" s="1" t="s">
        <v>33</v>
      </c>
      <c r="C10">
        <v>73</v>
      </c>
      <c r="D10">
        <v>7.08</v>
      </c>
      <c r="E10">
        <v>7.55</v>
      </c>
      <c r="F10">
        <v>7.85</v>
      </c>
      <c r="G10">
        <v>-3.32</v>
      </c>
      <c r="H10" s="1" t="s">
        <v>34</v>
      </c>
      <c r="I10" s="1" t="s">
        <v>35</v>
      </c>
      <c r="J10">
        <v>15</v>
      </c>
      <c r="K10">
        <v>0.64649999999999996</v>
      </c>
    </row>
    <row r="11" spans="1:11" x14ac:dyDescent="0.25">
      <c r="A11" s="1" t="s">
        <v>36</v>
      </c>
      <c r="B11" s="1" t="s">
        <v>37</v>
      </c>
      <c r="C11">
        <v>74</v>
      </c>
      <c r="D11">
        <v>7</v>
      </c>
      <c r="E11">
        <v>6.55</v>
      </c>
      <c r="F11">
        <v>6.9</v>
      </c>
      <c r="G11">
        <v>-2.71</v>
      </c>
      <c r="H11" s="1" t="s">
        <v>38</v>
      </c>
      <c r="I11" s="1" t="s">
        <v>39</v>
      </c>
      <c r="J11">
        <v>56</v>
      </c>
      <c r="K11">
        <v>0.61819999999999997</v>
      </c>
    </row>
    <row r="12" spans="1:11" x14ac:dyDescent="0.25">
      <c r="A12" s="1" t="s">
        <v>40</v>
      </c>
      <c r="B12" s="1" t="s">
        <v>41</v>
      </c>
      <c r="C12">
        <v>75</v>
      </c>
      <c r="D12">
        <v>8.4499999999999993</v>
      </c>
      <c r="E12">
        <v>5.55</v>
      </c>
      <c r="F12">
        <v>5.9</v>
      </c>
      <c r="G12">
        <v>0</v>
      </c>
      <c r="H12" s="1" t="s">
        <v>13</v>
      </c>
      <c r="I12" s="1" t="s">
        <v>42</v>
      </c>
      <c r="J12">
        <v>25</v>
      </c>
      <c r="K12">
        <v>0.54490000000000005</v>
      </c>
    </row>
    <row r="13" spans="1:11" x14ac:dyDescent="0.25">
      <c r="A13" s="1" t="s">
        <v>43</v>
      </c>
      <c r="B13" s="1" t="s">
        <v>44</v>
      </c>
      <c r="C13">
        <v>76</v>
      </c>
      <c r="D13">
        <v>4.8</v>
      </c>
      <c r="E13">
        <v>4.75</v>
      </c>
      <c r="F13">
        <v>5</v>
      </c>
      <c r="G13">
        <v>-2.36</v>
      </c>
      <c r="H13" s="1" t="s">
        <v>45</v>
      </c>
      <c r="I13" s="1" t="s">
        <v>35</v>
      </c>
      <c r="J13">
        <v>11</v>
      </c>
      <c r="K13">
        <v>0.52929999999999999</v>
      </c>
    </row>
    <row r="14" spans="1:11" x14ac:dyDescent="0.25">
      <c r="A14" s="1" t="s">
        <v>46</v>
      </c>
      <c r="B14" s="1" t="s">
        <v>47</v>
      </c>
      <c r="C14">
        <v>77</v>
      </c>
      <c r="D14">
        <v>7.78</v>
      </c>
      <c r="E14">
        <v>3.8</v>
      </c>
      <c r="F14">
        <v>4</v>
      </c>
      <c r="G14">
        <v>0</v>
      </c>
      <c r="H14" s="1" t="s">
        <v>13</v>
      </c>
      <c r="I14" s="1" t="s">
        <v>48</v>
      </c>
      <c r="J14">
        <v>48</v>
      </c>
      <c r="K14">
        <v>0.44819999999999999</v>
      </c>
    </row>
    <row r="15" spans="1:11" x14ac:dyDescent="0.25">
      <c r="A15" s="1" t="s">
        <v>49</v>
      </c>
      <c r="B15" s="1" t="s">
        <v>50</v>
      </c>
      <c r="C15">
        <v>78</v>
      </c>
      <c r="D15">
        <v>7.25</v>
      </c>
      <c r="E15">
        <v>2.99</v>
      </c>
      <c r="F15">
        <v>3.15</v>
      </c>
      <c r="G15">
        <v>0</v>
      </c>
      <c r="H15" s="1" t="s">
        <v>13</v>
      </c>
      <c r="I15" s="1" t="s">
        <v>29</v>
      </c>
      <c r="J15">
        <v>13</v>
      </c>
      <c r="K15">
        <v>0.42770000000000002</v>
      </c>
    </row>
    <row r="16" spans="1:11" x14ac:dyDescent="0.25">
      <c r="A16" s="1" t="s">
        <v>51</v>
      </c>
      <c r="B16" s="1" t="s">
        <v>52</v>
      </c>
      <c r="C16">
        <v>79</v>
      </c>
      <c r="D16">
        <v>2.2200000000000002</v>
      </c>
      <c r="E16">
        <v>2.25</v>
      </c>
      <c r="F16">
        <v>2.36</v>
      </c>
      <c r="G16">
        <v>-2.13</v>
      </c>
      <c r="H16" s="1" t="s">
        <v>53</v>
      </c>
      <c r="I16" s="1" t="s">
        <v>54</v>
      </c>
      <c r="J16">
        <v>60</v>
      </c>
      <c r="K16">
        <v>0.40479999999999999</v>
      </c>
    </row>
    <row r="17" spans="1:11" x14ac:dyDescent="0.25">
      <c r="A17" s="1" t="s">
        <v>55</v>
      </c>
      <c r="B17" s="1" t="s">
        <v>56</v>
      </c>
      <c r="C17">
        <v>80</v>
      </c>
      <c r="D17">
        <v>1.82</v>
      </c>
      <c r="E17">
        <v>1.61</v>
      </c>
      <c r="F17">
        <v>1.74</v>
      </c>
      <c r="G17">
        <v>-1.78</v>
      </c>
      <c r="H17" s="1" t="s">
        <v>57</v>
      </c>
      <c r="I17" s="1" t="s">
        <v>58</v>
      </c>
      <c r="J17">
        <v>56</v>
      </c>
      <c r="K17">
        <v>0.40720000000000001</v>
      </c>
    </row>
    <row r="18" spans="1:11" x14ac:dyDescent="0.25">
      <c r="A18" s="1" t="s">
        <v>59</v>
      </c>
      <c r="B18" s="1" t="s">
        <v>60</v>
      </c>
      <c r="C18">
        <v>81</v>
      </c>
      <c r="D18">
        <v>1.43</v>
      </c>
      <c r="E18">
        <v>1.1200000000000001</v>
      </c>
      <c r="F18">
        <v>1.22</v>
      </c>
      <c r="G18">
        <v>-1.97</v>
      </c>
      <c r="H18" s="1" t="s">
        <v>61</v>
      </c>
      <c r="I18" s="1" t="s">
        <v>62</v>
      </c>
      <c r="J18">
        <v>58</v>
      </c>
      <c r="K18">
        <v>0.40579999999999999</v>
      </c>
    </row>
    <row r="19" spans="1:11" x14ac:dyDescent="0.25">
      <c r="A19" s="1" t="s">
        <v>63</v>
      </c>
      <c r="B19" s="1" t="s">
        <v>52</v>
      </c>
      <c r="C19">
        <v>82</v>
      </c>
      <c r="D19">
        <v>0.76</v>
      </c>
      <c r="E19">
        <v>0.77</v>
      </c>
      <c r="F19">
        <v>0.84</v>
      </c>
      <c r="G19">
        <v>-1.43</v>
      </c>
      <c r="H19" s="1" t="s">
        <v>64</v>
      </c>
      <c r="I19" s="1" t="s">
        <v>65</v>
      </c>
      <c r="J19">
        <v>59</v>
      </c>
      <c r="K19">
        <v>0.41160000000000002</v>
      </c>
    </row>
    <row r="20" spans="1:11" x14ac:dyDescent="0.25">
      <c r="A20" s="1" t="s">
        <v>66</v>
      </c>
      <c r="B20" s="1" t="s">
        <v>67</v>
      </c>
      <c r="C20">
        <v>83</v>
      </c>
      <c r="D20">
        <v>0.48</v>
      </c>
      <c r="E20">
        <v>0.49</v>
      </c>
      <c r="F20">
        <v>0.56000000000000005</v>
      </c>
      <c r="G20">
        <v>-1.42</v>
      </c>
      <c r="H20" s="1" t="s">
        <v>68</v>
      </c>
      <c r="I20" s="1" t="s">
        <v>69</v>
      </c>
      <c r="J20">
        <v>52</v>
      </c>
      <c r="K20">
        <v>0.41799999999999998</v>
      </c>
    </row>
    <row r="21" spans="1:11" x14ac:dyDescent="0.25">
      <c r="A21" s="1" t="s">
        <v>70</v>
      </c>
      <c r="B21" s="1" t="s">
        <v>71</v>
      </c>
      <c r="C21">
        <v>84</v>
      </c>
      <c r="D21">
        <v>0.38</v>
      </c>
      <c r="E21">
        <v>0.33</v>
      </c>
      <c r="F21">
        <v>0.37</v>
      </c>
      <c r="G21">
        <v>-1.1499999999999999</v>
      </c>
      <c r="H21" s="1" t="s">
        <v>72</v>
      </c>
      <c r="I21" s="1" t="s">
        <v>73</v>
      </c>
      <c r="J21">
        <v>220</v>
      </c>
      <c r="K21">
        <v>0.42680000000000001</v>
      </c>
    </row>
    <row r="22" spans="1:11" x14ac:dyDescent="0.25">
      <c r="A22" s="1" t="s">
        <v>74</v>
      </c>
      <c r="B22" s="1" t="s">
        <v>75</v>
      </c>
      <c r="C22">
        <v>85</v>
      </c>
      <c r="D22">
        <v>0.28000000000000003</v>
      </c>
      <c r="E22">
        <v>0.21</v>
      </c>
      <c r="F22">
        <v>0.24</v>
      </c>
      <c r="G22">
        <v>-0.83</v>
      </c>
      <c r="H22" s="1" t="s">
        <v>76</v>
      </c>
      <c r="I22" s="1" t="s">
        <v>77</v>
      </c>
      <c r="J22">
        <v>367</v>
      </c>
      <c r="K22">
        <v>0.4365</v>
      </c>
    </row>
    <row r="23" spans="1:11" x14ac:dyDescent="0.25">
      <c r="A23" s="1" t="s">
        <v>78</v>
      </c>
      <c r="B23" s="1" t="s">
        <v>79</v>
      </c>
      <c r="C23">
        <v>86</v>
      </c>
      <c r="D23">
        <v>0.17</v>
      </c>
      <c r="E23">
        <v>0.14000000000000001</v>
      </c>
      <c r="F23">
        <v>0.16</v>
      </c>
      <c r="G23">
        <v>-0.57999999999999996</v>
      </c>
      <c r="H23" s="1" t="s">
        <v>80</v>
      </c>
      <c r="I23" s="1" t="s">
        <v>81</v>
      </c>
      <c r="J23">
        <v>400</v>
      </c>
      <c r="K23">
        <v>0.45019999999999999</v>
      </c>
    </row>
    <row r="24" spans="1:11" x14ac:dyDescent="0.25">
      <c r="A24" s="1" t="s">
        <v>82</v>
      </c>
      <c r="B24" s="1" t="s">
        <v>83</v>
      </c>
      <c r="C24">
        <v>87</v>
      </c>
      <c r="D24">
        <v>0.11</v>
      </c>
      <c r="E24">
        <v>0.09</v>
      </c>
      <c r="F24">
        <v>0.12</v>
      </c>
      <c r="G24">
        <v>-0.42</v>
      </c>
      <c r="H24" s="1" t="s">
        <v>84</v>
      </c>
      <c r="I24" s="1" t="s">
        <v>85</v>
      </c>
      <c r="J24">
        <v>171</v>
      </c>
      <c r="K24">
        <v>0.47660000000000002</v>
      </c>
    </row>
    <row r="25" spans="1:11" x14ac:dyDescent="0.25">
      <c r="A25" s="1" t="s">
        <v>86</v>
      </c>
      <c r="B25" s="1" t="s">
        <v>87</v>
      </c>
      <c r="C25">
        <v>88</v>
      </c>
      <c r="D25">
        <v>0.08</v>
      </c>
      <c r="E25">
        <v>7.0000000000000007E-2</v>
      </c>
      <c r="F25">
        <v>0.08</v>
      </c>
      <c r="G25">
        <v>-0.3</v>
      </c>
      <c r="H25" s="1" t="s">
        <v>88</v>
      </c>
      <c r="I25" s="1" t="s">
        <v>89</v>
      </c>
      <c r="J25">
        <v>327</v>
      </c>
      <c r="K25">
        <v>0.48830000000000001</v>
      </c>
    </row>
    <row r="26" spans="1:11" x14ac:dyDescent="0.25">
      <c r="A26" s="1" t="s">
        <v>90</v>
      </c>
      <c r="B26" s="1" t="s">
        <v>91</v>
      </c>
      <c r="C26">
        <v>90</v>
      </c>
      <c r="D26">
        <v>0.04</v>
      </c>
      <c r="E26">
        <v>0.03</v>
      </c>
      <c r="F26">
        <v>0.05</v>
      </c>
      <c r="G26">
        <v>-0.13</v>
      </c>
      <c r="H26" s="1" t="s">
        <v>92</v>
      </c>
      <c r="I26" s="1" t="s">
        <v>93</v>
      </c>
      <c r="J26">
        <v>854</v>
      </c>
      <c r="K26">
        <v>0.52339999999999998</v>
      </c>
    </row>
    <row r="27" spans="1:11" x14ac:dyDescent="0.25">
      <c r="A27" s="1" t="s">
        <v>94</v>
      </c>
      <c r="B27" s="1" t="s">
        <v>95</v>
      </c>
      <c r="C27">
        <v>95</v>
      </c>
      <c r="D27">
        <v>0.03</v>
      </c>
      <c r="E27">
        <v>0.02</v>
      </c>
      <c r="F27">
        <v>0.03</v>
      </c>
      <c r="G27">
        <v>0</v>
      </c>
      <c r="H27" s="1" t="s">
        <v>13</v>
      </c>
      <c r="I27" s="1" t="s">
        <v>96</v>
      </c>
      <c r="J27">
        <v>443</v>
      </c>
      <c r="K27">
        <v>0.6875</v>
      </c>
    </row>
    <row r="28" spans="1:11" x14ac:dyDescent="0.25">
      <c r="A28" s="1" t="s">
        <v>97</v>
      </c>
      <c r="B28" s="1" t="s">
        <v>98</v>
      </c>
      <c r="C28">
        <v>100</v>
      </c>
      <c r="D28">
        <v>0.03</v>
      </c>
      <c r="E28">
        <v>0</v>
      </c>
      <c r="F28">
        <v>0.04</v>
      </c>
      <c r="G28">
        <v>-0.05</v>
      </c>
      <c r="H28" s="1" t="s">
        <v>99</v>
      </c>
      <c r="I28" s="1" t="s">
        <v>14</v>
      </c>
      <c r="J28">
        <v>83</v>
      </c>
      <c r="K28">
        <v>0.84379999999999999</v>
      </c>
    </row>
    <row r="29" spans="1:11" x14ac:dyDescent="0.25">
      <c r="A29" s="1" t="s">
        <v>100</v>
      </c>
      <c r="B29" s="1" t="s">
        <v>101</v>
      </c>
      <c r="C29">
        <v>105</v>
      </c>
      <c r="D29">
        <v>0.1</v>
      </c>
      <c r="E29">
        <v>0</v>
      </c>
      <c r="F29">
        <v>0.05</v>
      </c>
      <c r="G29">
        <v>0</v>
      </c>
      <c r="H29" s="1" t="s">
        <v>13</v>
      </c>
      <c r="I29" s="1" t="s">
        <v>13</v>
      </c>
      <c r="J29">
        <v>1</v>
      </c>
      <c r="K29">
        <v>1.0390999999999999</v>
      </c>
    </row>
    <row r="30" spans="1:11" x14ac:dyDescent="0.25">
      <c r="A30" s="1" t="s">
        <v>102</v>
      </c>
      <c r="B30" s="1" t="s">
        <v>103</v>
      </c>
      <c r="C30">
        <v>110</v>
      </c>
      <c r="D30">
        <v>0.01</v>
      </c>
      <c r="E30">
        <v>0</v>
      </c>
      <c r="F30">
        <v>7.0000000000000007E-2</v>
      </c>
      <c r="G30">
        <v>0</v>
      </c>
      <c r="H30" s="1" t="s">
        <v>13</v>
      </c>
      <c r="I30" s="1" t="s">
        <v>13</v>
      </c>
      <c r="J30">
        <v>1</v>
      </c>
      <c r="K30">
        <v>1.2422</v>
      </c>
    </row>
    <row r="31" spans="1:11" x14ac:dyDescent="0.25">
      <c r="A31" s="1" t="s">
        <v>104</v>
      </c>
      <c r="B31" s="1" t="s">
        <v>105</v>
      </c>
      <c r="C31">
        <v>115</v>
      </c>
      <c r="D31">
        <v>0.08</v>
      </c>
      <c r="E31">
        <v>0</v>
      </c>
      <c r="F31">
        <v>0.28000000000000003</v>
      </c>
      <c r="G31">
        <v>0</v>
      </c>
      <c r="H31" s="1" t="s">
        <v>13</v>
      </c>
      <c r="I31" s="1" t="s">
        <v>13</v>
      </c>
      <c r="J31">
        <v>20</v>
      </c>
      <c r="K31">
        <v>1.6836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1B4D14-AE15-41C9-8028-93DB1A715F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Implied Vol &amp; Greeks</vt:lpstr>
      <vt:lpstr>Part 3</vt:lpstr>
      <vt:lpstr>Jan 19, 2024</vt:lpstr>
      <vt:lpstr>Jan 20, 2023</vt:lpstr>
      <vt:lpstr>Sep 16, 2022</vt:lpstr>
      <vt:lpstr>June 17, 2022</vt:lpstr>
      <vt:lpstr>May 20, 2022</vt:lpstr>
      <vt:lpstr>April 14, 2022</vt:lpstr>
      <vt:lpstr>April 8, 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Padezhki</dc:creator>
  <cp:lastModifiedBy>Ivan Padezhki</cp:lastModifiedBy>
  <dcterms:created xsi:type="dcterms:W3CDTF">2022-04-06T06:01:16Z</dcterms:created>
  <dcterms:modified xsi:type="dcterms:W3CDTF">2022-04-08T18:52:06Z</dcterms:modified>
</cp:coreProperties>
</file>